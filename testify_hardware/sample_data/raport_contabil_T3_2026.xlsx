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zumat" sheetId="1" state="visible" r:id="rId3"/>
    <sheet name="Ipoteze" sheetId="2" state="visible" r:id="rId4"/>
    <sheet name="Vanzari" sheetId="3" state="visible" r:id="rId5"/>
    <sheet name="Achizitii" sheetId="4" state="visible" r:id="rId6"/>
    <sheet name="Cheltuieli" sheetId="5" state="visible" r:id="rId7"/>
    <sheet name="Salarii" sheetId="6" state="visible" r:id="rId8"/>
    <sheet name="Stocuri" sheetId="7" state="visible" r:id="rId9"/>
    <sheet name="Clienti" sheetId="8" state="visible" r:id="rId10"/>
    <sheet name="Furnizori" sheetId="9" state="visible" r:id="rId11"/>
    <sheet name="TVA" sheetId="10" state="visible" r:id="rId12"/>
  </sheets>
  <definedNames>
    <definedName function="false" hidden="true" localSheetId="3" name="_xlnm._FilterDatabase" vbProcedure="false">Achizitii!$A$1:$K$107</definedName>
    <definedName function="false" hidden="true" localSheetId="2" name="_xlnm._FilterDatabase" vbProcedure="false">Vanzari!$A$1:$P$352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<sst xmlns="http://schemas.openxmlformats.org/spreadsheetml/2006/main" count="2813" uniqueCount="683">
  <si>
    <t xml:space="preserve">Raport pentru contabilitate - T3 2026 (iulie-septembrie)</t>
  </si>
  <si>
    <t xml:space="preserve">Magazin fictiv de electronice si accesorii. Toate sumele in lei, fara TVA.</t>
  </si>
  <si>
    <t xml:space="preserve">Contul de profit si pierdere</t>
  </si>
  <si>
    <t xml:space="preserve">Iulie</t>
  </si>
  <si>
    <t xml:space="preserve">August</t>
  </si>
  <si>
    <t xml:space="preserve">Septembrie</t>
  </si>
  <si>
    <t xml:space="preserve">Total T3</t>
  </si>
  <si>
    <t xml:space="preserve">Venituri din vanzari</t>
  </si>
  <si>
    <t xml:space="preserve">Costul marfii vandute</t>
  </si>
  <si>
    <t xml:space="preserve">Marja bruta</t>
  </si>
  <si>
    <t xml:space="preserve">Marja bruta %</t>
  </si>
  <si>
    <t xml:space="preserve">Cheltuieli operationale</t>
  </si>
  <si>
    <t xml:space="preserve">   Chirie</t>
  </si>
  <si>
    <t xml:space="preserve">   Utilitati</t>
  </si>
  <si>
    <t xml:space="preserve">   Contabilitate</t>
  </si>
  <si>
    <t xml:space="preserve">   Software</t>
  </si>
  <si>
    <t xml:space="preserve">   Marketing</t>
  </si>
  <si>
    <t xml:space="preserve">   Transport</t>
  </si>
  <si>
    <t xml:space="preserve">   Consumabile</t>
  </si>
  <si>
    <t xml:space="preserve">   Mentenanta</t>
  </si>
  <si>
    <t xml:space="preserve">   Banca</t>
  </si>
  <si>
    <t xml:space="preserve">   Echipamente IT</t>
  </si>
  <si>
    <t xml:space="preserve">   Salarii brute</t>
  </si>
  <si>
    <t xml:space="preserve">   CAM (contributie angajator)</t>
  </si>
  <si>
    <t xml:space="preserve">Total cheltuieli operationale</t>
  </si>
  <si>
    <t xml:space="preserve">Profit inainte de impozit</t>
  </si>
  <si>
    <t xml:space="preserve">Impozit pe profit estimat (16%)</t>
  </si>
  <si>
    <t xml:space="preserve">Profit net estimat</t>
  </si>
  <si>
    <t xml:space="preserve">Marja neta %</t>
  </si>
  <si>
    <t xml:space="preserve">Indicatori de bilant si de control</t>
  </si>
  <si>
    <t xml:space="preserve">Indicator</t>
  </si>
  <si>
    <t xml:space="preserve">Achizitii marfa (fara TVA)</t>
  </si>
  <si>
    <t xml:space="preserve">Valoare stoc la final de luna</t>
  </si>
  <si>
    <t xml:space="preserve">TVA de plata</t>
  </si>
  <si>
    <t xml:space="preserve">Salarii nete de plata</t>
  </si>
  <si>
    <t xml:space="preserve">Contributii si impozit salarii de plata (CAS+CASS+impozit+CAM)</t>
  </si>
  <si>
    <t xml:space="preserve">Creante clienti neincasate la 30.09 (cu TVA)</t>
  </si>
  <si>
    <t xml:space="preserve">Numar facturi emise</t>
  </si>
  <si>
    <t xml:space="preserve">Note: parametrii (cote TVA, contributii, impozit) sunt in foaia Ipoteze. Salariile nu includ deducerea personala (simplificare). Impozitul pe profit e o estimare, nu calculul final.</t>
  </si>
  <si>
    <t xml:space="preserve">Ipoteze si parametri</t>
  </si>
  <si>
    <t xml:space="preserve">Parametru</t>
  </si>
  <si>
    <t xml:space="preserve">Valoare</t>
  </si>
  <si>
    <t xml:space="preserve">Nota</t>
  </si>
  <si>
    <t xml:space="preserve">Cota TVA standard</t>
  </si>
  <si>
    <t xml:space="preserve">Cota standard TVA in Romania de la 01.08.2025</t>
  </si>
  <si>
    <t xml:space="preserve">Cota TVA apa si canalizare</t>
  </si>
  <si>
    <t xml:space="preserve">Cota redusa pentru apa, de la 01.08.2025</t>
  </si>
  <si>
    <t xml:space="preserve">CAS (pensie) - angajat</t>
  </si>
  <si>
    <t xml:space="preserve">Retinut din salariul brut</t>
  </si>
  <si>
    <t xml:space="preserve">CASS (sanatate) - angajat</t>
  </si>
  <si>
    <t xml:space="preserve">Impozit pe venit salarii</t>
  </si>
  <si>
    <t xml:space="preserve">Aplicat pe brut - CAS - CASS; deducerea personala NU e inclusa (simplificare didactica)</t>
  </si>
  <si>
    <t xml:space="preserve">CAM - angajator</t>
  </si>
  <si>
    <t xml:space="preserve">Contributia asiguratorie pentru munca, platita de firma</t>
  </si>
  <si>
    <t xml:space="preserve">Impozit pe profit (estimat)</t>
  </si>
  <si>
    <t xml:space="preserve">Firma depaseste plafonul de microintreprindere; estimare trimestriala</t>
  </si>
  <si>
    <t xml:space="preserve">Data de referinta creante</t>
  </si>
  <si>
    <t xml:space="preserve">Facturile cu scadenta dupa aceasta data sunt considerate neincasate</t>
  </si>
  <si>
    <t xml:space="preserve">Celulele galbene cu text albastru sunt date de intrare: daca le modifici, tot raportul se recalculeaza.</t>
  </si>
  <si>
    <t xml:space="preserve">Date sursa: fisierele CSV ale magazinului (vanzari, cheltuieli, achizitii, inventar, stat de plata) pentru iulie-septembrie 2026. Firma si datele sunt fictive.</t>
  </si>
  <si>
    <t xml:space="preserve">Luna</t>
  </si>
  <si>
    <t xml:space="preserve">Data</t>
  </si>
  <si>
    <t xml:space="preserve">Nr factura</t>
  </si>
  <si>
    <t xml:space="preserve">Produs</t>
  </si>
  <si>
    <t xml:space="preserve">Categorie</t>
  </si>
  <si>
    <t xml:space="preserve">Cantitate</t>
  </si>
  <si>
    <t xml:space="preserve">Pret unitar fara TVA</t>
  </si>
  <si>
    <t xml:space="preserve">Cost achizitie unitar</t>
  </si>
  <si>
    <t xml:space="preserve">Client</t>
  </si>
  <si>
    <t xml:space="preserve">Valoare fara TVA</t>
  </si>
  <si>
    <t xml:space="preserve">TVA</t>
  </si>
  <si>
    <t xml:space="preserve">Total cu TVA</t>
  </si>
  <si>
    <t xml:space="preserve">Cost marfa vanduta</t>
  </si>
  <si>
    <t xml:space="preserve">Termen plata (zile)</t>
  </si>
  <si>
    <t xml:space="preserve">Scadenta</t>
  </si>
  <si>
    <t xml:space="preserve">Status la 30.09</t>
  </si>
  <si>
    <t xml:space="preserve">2026-07</t>
  </si>
  <si>
    <t xml:space="preserve">NB-0764</t>
  </si>
  <si>
    <t xml:space="preserve">Hub USB-C 7in1</t>
  </si>
  <si>
    <t xml:space="preserve">Accesorii</t>
  </si>
  <si>
    <t xml:space="preserve">Beta Studio SRL</t>
  </si>
  <si>
    <t xml:space="preserve">NB-0765</t>
  </si>
  <si>
    <t xml:space="preserve">Mouse wireless M200</t>
  </si>
  <si>
    <t xml:space="preserve">Periferice</t>
  </si>
  <si>
    <t xml:space="preserve">Persoana fizica</t>
  </si>
  <si>
    <t xml:space="preserve">NB-0766</t>
  </si>
  <si>
    <t xml:space="preserve">Cablu HDMI 2.1 3m</t>
  </si>
  <si>
    <t xml:space="preserve">Cabluri</t>
  </si>
  <si>
    <t xml:space="preserve">NB-0767</t>
  </si>
  <si>
    <t xml:space="preserve">Cablu USB-C 2m</t>
  </si>
  <si>
    <t xml:space="preserve">NB-0768</t>
  </si>
  <si>
    <t xml:space="preserve">Suport laptop aluminiu</t>
  </si>
  <si>
    <t xml:space="preserve">Online - eMag</t>
  </si>
  <si>
    <t xml:space="preserve">NB-0769</t>
  </si>
  <si>
    <t xml:space="preserve">Mousepad XL</t>
  </si>
  <si>
    <t xml:space="preserve">Gamma Logistic SRL</t>
  </si>
  <si>
    <t xml:space="preserve">NB-0770</t>
  </si>
  <si>
    <t xml:space="preserve">SSD extern 1TB</t>
  </si>
  <si>
    <t xml:space="preserve">Stocare</t>
  </si>
  <si>
    <t xml:space="preserve">Alfa Office SRL</t>
  </si>
  <si>
    <t xml:space="preserve">NB-0771</t>
  </si>
  <si>
    <t xml:space="preserve">Incarcator GaN 65W</t>
  </si>
  <si>
    <t xml:space="preserve">NB-0772</t>
  </si>
  <si>
    <t xml:space="preserve">NB-0773</t>
  </si>
  <si>
    <t xml:space="preserve">Casti over-ear H5</t>
  </si>
  <si>
    <t xml:space="preserve">Audio</t>
  </si>
  <si>
    <t xml:space="preserve">NB-0774</t>
  </si>
  <si>
    <t xml:space="preserve">NB-0775</t>
  </si>
  <si>
    <t xml:space="preserve">Tastatura mecanica K7</t>
  </si>
  <si>
    <t xml:space="preserve">NB-0776</t>
  </si>
  <si>
    <t xml:space="preserve">Online - site propriu</t>
  </si>
  <si>
    <t xml:space="preserve">NB-0777</t>
  </si>
  <si>
    <t xml:space="preserve">NB-0778</t>
  </si>
  <si>
    <t xml:space="preserve">Monitor 27 inch QHD</t>
  </si>
  <si>
    <t xml:space="preserve">Monitoare</t>
  </si>
  <si>
    <t xml:space="preserve">NB-0779</t>
  </si>
  <si>
    <t xml:space="preserve">Omega Consult SRL</t>
  </si>
  <si>
    <t xml:space="preserve">NB-0780</t>
  </si>
  <si>
    <t xml:space="preserve">NB-0781</t>
  </si>
  <si>
    <t xml:space="preserve">NB-0782</t>
  </si>
  <si>
    <t xml:space="preserve">NB-0783</t>
  </si>
  <si>
    <t xml:space="preserve">NB-0784</t>
  </si>
  <si>
    <t xml:space="preserve">NB-0785</t>
  </si>
  <si>
    <t xml:space="preserve">NB-0786</t>
  </si>
  <si>
    <t xml:space="preserve">Stick USB 64GB</t>
  </si>
  <si>
    <t xml:space="preserve">Delta Design SRL</t>
  </si>
  <si>
    <t xml:space="preserve">NB-0787</t>
  </si>
  <si>
    <t xml:space="preserve">NB-0788</t>
  </si>
  <si>
    <t xml:space="preserve">NB-0789</t>
  </si>
  <si>
    <t xml:space="preserve">NB-0790</t>
  </si>
  <si>
    <t xml:space="preserve">Webcam FullHD C920</t>
  </si>
  <si>
    <t xml:space="preserve">NB-0791</t>
  </si>
  <si>
    <t xml:space="preserve">NB-0792</t>
  </si>
  <si>
    <t xml:space="preserve">NB-0793</t>
  </si>
  <si>
    <t xml:space="preserve">Boxa bluetooth Mini</t>
  </si>
  <si>
    <t xml:space="preserve">NB-0794</t>
  </si>
  <si>
    <t xml:space="preserve">NB-0795</t>
  </si>
  <si>
    <t xml:space="preserve">NB-0796</t>
  </si>
  <si>
    <t xml:space="preserve">NB-0797</t>
  </si>
  <si>
    <t xml:space="preserve">NB-0798</t>
  </si>
  <si>
    <t xml:space="preserve">NB-0799</t>
  </si>
  <si>
    <t xml:space="preserve">NB-0800</t>
  </si>
  <si>
    <t xml:space="preserve">NB-0801</t>
  </si>
  <si>
    <t xml:space="preserve">NB-0802</t>
  </si>
  <si>
    <t xml:space="preserve">NB-0803</t>
  </si>
  <si>
    <t xml:space="preserve">NB-0804</t>
  </si>
  <si>
    <t xml:space="preserve">NB-0805</t>
  </si>
  <si>
    <t xml:space="preserve">NB-0806</t>
  </si>
  <si>
    <t xml:space="preserve">NB-0807</t>
  </si>
  <si>
    <t xml:space="preserve">NB-0808</t>
  </si>
  <si>
    <t xml:space="preserve">NB-0809</t>
  </si>
  <si>
    <t xml:space="preserve">NB-0810</t>
  </si>
  <si>
    <t xml:space="preserve">NB-0811</t>
  </si>
  <si>
    <t xml:space="preserve">NB-0812</t>
  </si>
  <si>
    <t xml:space="preserve">NB-0813</t>
  </si>
  <si>
    <t xml:space="preserve">NB-0814</t>
  </si>
  <si>
    <t xml:space="preserve">NB-0815</t>
  </si>
  <si>
    <t xml:space="preserve">NB-0816</t>
  </si>
  <si>
    <t xml:space="preserve">NB-0817</t>
  </si>
  <si>
    <t xml:space="preserve">NB-0818</t>
  </si>
  <si>
    <t xml:space="preserve">NB-0819</t>
  </si>
  <si>
    <t xml:space="preserve">NB-0820</t>
  </si>
  <si>
    <t xml:space="preserve">NB-0821</t>
  </si>
  <si>
    <t xml:space="preserve">NB-0822</t>
  </si>
  <si>
    <t xml:space="preserve">NB-0823</t>
  </si>
  <si>
    <t xml:space="preserve">NB-0824</t>
  </si>
  <si>
    <t xml:space="preserve">NB-0825</t>
  </si>
  <si>
    <t xml:space="preserve">NB-0826</t>
  </si>
  <si>
    <t xml:space="preserve">NB-0827</t>
  </si>
  <si>
    <t xml:space="preserve">NB-0828</t>
  </si>
  <si>
    <t xml:space="preserve">NB-0829</t>
  </si>
  <si>
    <t xml:space="preserve">NB-0830</t>
  </si>
  <si>
    <t xml:space="preserve">NB-0831</t>
  </si>
  <si>
    <t xml:space="preserve">NB-0832</t>
  </si>
  <si>
    <t xml:space="preserve">NB-0833</t>
  </si>
  <si>
    <t xml:space="preserve">NB-0834</t>
  </si>
  <si>
    <t xml:space="preserve">NB-0835</t>
  </si>
  <si>
    <t xml:space="preserve">NB-0836</t>
  </si>
  <si>
    <t xml:space="preserve">NB-0837</t>
  </si>
  <si>
    <t xml:space="preserve">NB-0838</t>
  </si>
  <si>
    <t xml:space="preserve">NB-0839</t>
  </si>
  <si>
    <t xml:space="preserve">NB-0840</t>
  </si>
  <si>
    <t xml:space="preserve">NB-0841</t>
  </si>
  <si>
    <t xml:space="preserve">NB-0842</t>
  </si>
  <si>
    <t xml:space="preserve">NB-0843</t>
  </si>
  <si>
    <t xml:space="preserve">NB-0844</t>
  </si>
  <si>
    <t xml:space="preserve">NB-0845</t>
  </si>
  <si>
    <t xml:space="preserve">NB-0846</t>
  </si>
  <si>
    <t xml:space="preserve">NB-0847</t>
  </si>
  <si>
    <t xml:space="preserve">NB-0848</t>
  </si>
  <si>
    <t xml:space="preserve">NB-0849</t>
  </si>
  <si>
    <t xml:space="preserve">NB-0850</t>
  </si>
  <si>
    <t xml:space="preserve">NB-0851</t>
  </si>
  <si>
    <t xml:space="preserve">NB-0852</t>
  </si>
  <si>
    <t xml:space="preserve">NB-0853</t>
  </si>
  <si>
    <t xml:space="preserve">NB-0854</t>
  </si>
  <si>
    <t xml:space="preserve">NB-0855</t>
  </si>
  <si>
    <t xml:space="preserve">NB-0856</t>
  </si>
  <si>
    <t xml:space="preserve">NB-0857</t>
  </si>
  <si>
    <t xml:space="preserve">NB-0858</t>
  </si>
  <si>
    <t xml:space="preserve">NB-0859</t>
  </si>
  <si>
    <t xml:space="preserve">NB-0860</t>
  </si>
  <si>
    <t xml:space="preserve">NB-0861</t>
  </si>
  <si>
    <t xml:space="preserve">NB-0862</t>
  </si>
  <si>
    <t xml:space="preserve">NB-0863</t>
  </si>
  <si>
    <t xml:space="preserve">NB-0864</t>
  </si>
  <si>
    <t xml:space="preserve">NB-0865</t>
  </si>
  <si>
    <t xml:space="preserve">NB-0866</t>
  </si>
  <si>
    <t xml:space="preserve">NB-0867</t>
  </si>
  <si>
    <t xml:space="preserve">NB-0868</t>
  </si>
  <si>
    <t xml:space="preserve">NB-0869</t>
  </si>
  <si>
    <t xml:space="preserve">NB-0870</t>
  </si>
  <si>
    <t xml:space="preserve">NB-0871</t>
  </si>
  <si>
    <t xml:space="preserve">NB-0872</t>
  </si>
  <si>
    <t xml:space="preserve">NB-0873</t>
  </si>
  <si>
    <t xml:space="preserve">NB-0874</t>
  </si>
  <si>
    <t xml:space="preserve">NB-0875</t>
  </si>
  <si>
    <t xml:space="preserve">NB-0876</t>
  </si>
  <si>
    <t xml:space="preserve">NB-0877</t>
  </si>
  <si>
    <t xml:space="preserve">NB-0878</t>
  </si>
  <si>
    <t xml:space="preserve">NB-0879</t>
  </si>
  <si>
    <t xml:space="preserve">NB-0880</t>
  </si>
  <si>
    <t xml:space="preserve">NB-0881</t>
  </si>
  <si>
    <t xml:space="preserve">NB-0882</t>
  </si>
  <si>
    <t xml:space="preserve">2026-08</t>
  </si>
  <si>
    <t xml:space="preserve">NB-0883</t>
  </si>
  <si>
    <t xml:space="preserve">NB-0884</t>
  </si>
  <si>
    <t xml:space="preserve">NB-0885</t>
  </si>
  <si>
    <t xml:space="preserve">NB-0886</t>
  </si>
  <si>
    <t xml:space="preserve">NB-0887</t>
  </si>
  <si>
    <t xml:space="preserve">NB-0888</t>
  </si>
  <si>
    <t xml:space="preserve">NB-0889</t>
  </si>
  <si>
    <t xml:space="preserve">NB-0890</t>
  </si>
  <si>
    <t xml:space="preserve">NB-0891</t>
  </si>
  <si>
    <t xml:space="preserve">NB-0892</t>
  </si>
  <si>
    <t xml:space="preserve">NB-0893</t>
  </si>
  <si>
    <t xml:space="preserve">NB-0894</t>
  </si>
  <si>
    <t xml:space="preserve">NB-0895</t>
  </si>
  <si>
    <t xml:space="preserve">NB-0896</t>
  </si>
  <si>
    <t xml:space="preserve">NB-0897</t>
  </si>
  <si>
    <t xml:space="preserve">NB-0898</t>
  </si>
  <si>
    <t xml:space="preserve">NB-0899</t>
  </si>
  <si>
    <t xml:space="preserve">NB-0900</t>
  </si>
  <si>
    <t xml:space="preserve">NB-0901</t>
  </si>
  <si>
    <t xml:space="preserve">NB-0902</t>
  </si>
  <si>
    <t xml:space="preserve">NB-0903</t>
  </si>
  <si>
    <t xml:space="preserve">NB-0904</t>
  </si>
  <si>
    <t xml:space="preserve">NB-0905</t>
  </si>
  <si>
    <t xml:space="preserve">NB-0906</t>
  </si>
  <si>
    <t xml:space="preserve">NB-0907</t>
  </si>
  <si>
    <t xml:space="preserve">NB-0908</t>
  </si>
  <si>
    <t xml:space="preserve">NB-0909</t>
  </si>
  <si>
    <t xml:space="preserve">NB-0910</t>
  </si>
  <si>
    <t xml:space="preserve">NB-0911</t>
  </si>
  <si>
    <t xml:space="preserve">NB-0912</t>
  </si>
  <si>
    <t xml:space="preserve">NB-0913</t>
  </si>
  <si>
    <t xml:space="preserve">NB-0914</t>
  </si>
  <si>
    <t xml:space="preserve">NB-0915</t>
  </si>
  <si>
    <t xml:space="preserve">NB-0916</t>
  </si>
  <si>
    <t xml:space="preserve">NB-0917</t>
  </si>
  <si>
    <t xml:space="preserve">NB-0918</t>
  </si>
  <si>
    <t xml:space="preserve">NB-0919</t>
  </si>
  <si>
    <t xml:space="preserve">NB-0920</t>
  </si>
  <si>
    <t xml:space="preserve">NB-0921</t>
  </si>
  <si>
    <t xml:space="preserve">NB-0922</t>
  </si>
  <si>
    <t xml:space="preserve">NB-0923</t>
  </si>
  <si>
    <t xml:space="preserve">NB-0924</t>
  </si>
  <si>
    <t xml:space="preserve">NB-0925</t>
  </si>
  <si>
    <t xml:space="preserve">NB-0926</t>
  </si>
  <si>
    <t xml:space="preserve">NB-0927</t>
  </si>
  <si>
    <t xml:space="preserve">NB-0928</t>
  </si>
  <si>
    <t xml:space="preserve">NB-0929</t>
  </si>
  <si>
    <t xml:space="preserve">NB-0930</t>
  </si>
  <si>
    <t xml:space="preserve">NB-0931</t>
  </si>
  <si>
    <t xml:space="preserve">NB-0932</t>
  </si>
  <si>
    <t xml:space="preserve">NB-0933</t>
  </si>
  <si>
    <t xml:space="preserve">NB-0934</t>
  </si>
  <si>
    <t xml:space="preserve">NB-0935</t>
  </si>
  <si>
    <t xml:space="preserve">NB-0936</t>
  </si>
  <si>
    <t xml:space="preserve">NB-0937</t>
  </si>
  <si>
    <t xml:space="preserve">NB-0938</t>
  </si>
  <si>
    <t xml:space="preserve">NB-0939</t>
  </si>
  <si>
    <t xml:space="preserve">NB-0940</t>
  </si>
  <si>
    <t xml:space="preserve">NB-0941</t>
  </si>
  <si>
    <t xml:space="preserve">NB-0942</t>
  </si>
  <si>
    <t xml:space="preserve">NB-0943</t>
  </si>
  <si>
    <t xml:space="preserve">NB-0944</t>
  </si>
  <si>
    <t xml:space="preserve">NB-0945</t>
  </si>
  <si>
    <t xml:space="preserve">NB-0946</t>
  </si>
  <si>
    <t xml:space="preserve">NB-0947</t>
  </si>
  <si>
    <t xml:space="preserve">NB-0948</t>
  </si>
  <si>
    <t xml:space="preserve">NB-0949</t>
  </si>
  <si>
    <t xml:space="preserve">NB-0950</t>
  </si>
  <si>
    <t xml:space="preserve">NB-0951</t>
  </si>
  <si>
    <t xml:space="preserve">NB-0952</t>
  </si>
  <si>
    <t xml:space="preserve">NB-0953</t>
  </si>
  <si>
    <t xml:space="preserve">NB-0954</t>
  </si>
  <si>
    <t xml:space="preserve">NB-0955</t>
  </si>
  <si>
    <t xml:space="preserve">NB-0956</t>
  </si>
  <si>
    <t xml:space="preserve">NB-0957</t>
  </si>
  <si>
    <t xml:space="preserve">NB-0958</t>
  </si>
  <si>
    <t xml:space="preserve">NB-0959</t>
  </si>
  <si>
    <t xml:space="preserve">NB-0960</t>
  </si>
  <si>
    <t xml:space="preserve">NB-0961</t>
  </si>
  <si>
    <t xml:space="preserve">NB-0962</t>
  </si>
  <si>
    <t xml:space="preserve">NB-0963</t>
  </si>
  <si>
    <t xml:space="preserve">NB-0964</t>
  </si>
  <si>
    <t xml:space="preserve">NB-0965</t>
  </si>
  <si>
    <t xml:space="preserve">NB-0966</t>
  </si>
  <si>
    <t xml:space="preserve">NB-0967</t>
  </si>
  <si>
    <t xml:space="preserve">NB-0968</t>
  </si>
  <si>
    <t xml:space="preserve">NB-0969</t>
  </si>
  <si>
    <t xml:space="preserve">NB-0970</t>
  </si>
  <si>
    <t xml:space="preserve">NB-0971</t>
  </si>
  <si>
    <t xml:space="preserve">NB-0972</t>
  </si>
  <si>
    <t xml:space="preserve">NB-0973</t>
  </si>
  <si>
    <t xml:space="preserve">NB-0974</t>
  </si>
  <si>
    <t xml:space="preserve">NB-0975</t>
  </si>
  <si>
    <t xml:space="preserve">NB-0976</t>
  </si>
  <si>
    <t xml:space="preserve">NB-0977</t>
  </si>
  <si>
    <t xml:space="preserve">NB-0978</t>
  </si>
  <si>
    <t xml:space="preserve">NB-0979</t>
  </si>
  <si>
    <t xml:space="preserve">NB-0980</t>
  </si>
  <si>
    <t xml:space="preserve">NB-0981</t>
  </si>
  <si>
    <t xml:space="preserve">NB-0982</t>
  </si>
  <si>
    <t xml:space="preserve">NB-0983</t>
  </si>
  <si>
    <t xml:space="preserve">NB-0984</t>
  </si>
  <si>
    <t xml:space="preserve">NB-0985</t>
  </si>
  <si>
    <t xml:space="preserve">NB-0986</t>
  </si>
  <si>
    <t xml:space="preserve">NB-0987</t>
  </si>
  <si>
    <t xml:space="preserve">NB-0988</t>
  </si>
  <si>
    <t xml:space="preserve">NB-0989</t>
  </si>
  <si>
    <t xml:space="preserve">NB-0990</t>
  </si>
  <si>
    <t xml:space="preserve">NB-0991</t>
  </si>
  <si>
    <t xml:space="preserve">NB-0992</t>
  </si>
  <si>
    <t xml:space="preserve">NB-0993</t>
  </si>
  <si>
    <t xml:space="preserve">NB-0994</t>
  </si>
  <si>
    <t xml:space="preserve">NB-0995</t>
  </si>
  <si>
    <t xml:space="preserve">NB-0996</t>
  </si>
  <si>
    <t xml:space="preserve">NB-0997</t>
  </si>
  <si>
    <t xml:space="preserve">NB-0998</t>
  </si>
  <si>
    <t xml:space="preserve">NB-0999</t>
  </si>
  <si>
    <t xml:space="preserve">NB-1000</t>
  </si>
  <si>
    <t xml:space="preserve">2026-09</t>
  </si>
  <si>
    <t xml:space="preserve">NB-1001</t>
  </si>
  <si>
    <t xml:space="preserve">NB-1002</t>
  </si>
  <si>
    <t xml:space="preserve">NB-1003</t>
  </si>
  <si>
    <t xml:space="preserve">NB-1004</t>
  </si>
  <si>
    <t xml:space="preserve">NB-1005</t>
  </si>
  <si>
    <t xml:space="preserve">NB-1006</t>
  </si>
  <si>
    <t xml:space="preserve">NB-1007</t>
  </si>
  <si>
    <t xml:space="preserve">NB-1008</t>
  </si>
  <si>
    <t xml:space="preserve">NB-1009</t>
  </si>
  <si>
    <t xml:space="preserve">NB-1010</t>
  </si>
  <si>
    <t xml:space="preserve">NB-1011</t>
  </si>
  <si>
    <t xml:space="preserve">NB-1012</t>
  </si>
  <si>
    <t xml:space="preserve">NB-1013</t>
  </si>
  <si>
    <t xml:space="preserve">NB-1014</t>
  </si>
  <si>
    <t xml:space="preserve">NB-1015</t>
  </si>
  <si>
    <t xml:space="preserve">NB-1016</t>
  </si>
  <si>
    <t xml:space="preserve">NB-1017</t>
  </si>
  <si>
    <t xml:space="preserve">NB-1018</t>
  </si>
  <si>
    <t xml:space="preserve">NB-1019</t>
  </si>
  <si>
    <t xml:space="preserve">NB-1020</t>
  </si>
  <si>
    <t xml:space="preserve">NB-1021</t>
  </si>
  <si>
    <t xml:space="preserve">NB-1022</t>
  </si>
  <si>
    <t xml:space="preserve">NB-1023</t>
  </si>
  <si>
    <t xml:space="preserve">NB-1024</t>
  </si>
  <si>
    <t xml:space="preserve">NB-1025</t>
  </si>
  <si>
    <t xml:space="preserve">NB-1026</t>
  </si>
  <si>
    <t xml:space="preserve">NB-1027</t>
  </si>
  <si>
    <t xml:space="preserve">NB-1028</t>
  </si>
  <si>
    <t xml:space="preserve">NB-1029</t>
  </si>
  <si>
    <t xml:space="preserve">NB-1030</t>
  </si>
  <si>
    <t xml:space="preserve">NB-1031</t>
  </si>
  <si>
    <t xml:space="preserve">NB-1032</t>
  </si>
  <si>
    <t xml:space="preserve">NB-1033</t>
  </si>
  <si>
    <t xml:space="preserve">NB-1034</t>
  </si>
  <si>
    <t xml:space="preserve">NB-1035</t>
  </si>
  <si>
    <t xml:space="preserve">NB-1036</t>
  </si>
  <si>
    <t xml:space="preserve">NB-1037</t>
  </si>
  <si>
    <t xml:space="preserve">NB-1038</t>
  </si>
  <si>
    <t xml:space="preserve">NB-1039</t>
  </si>
  <si>
    <t xml:space="preserve">NB-1040</t>
  </si>
  <si>
    <t xml:space="preserve">NB-1041</t>
  </si>
  <si>
    <t xml:space="preserve">NB-1042</t>
  </si>
  <si>
    <t xml:space="preserve">NB-1043</t>
  </si>
  <si>
    <t xml:space="preserve">NB-1044</t>
  </si>
  <si>
    <t xml:space="preserve">NB-1045</t>
  </si>
  <si>
    <t xml:space="preserve">NB-1046</t>
  </si>
  <si>
    <t xml:space="preserve">NB-1047</t>
  </si>
  <si>
    <t xml:space="preserve">NB-1048</t>
  </si>
  <si>
    <t xml:space="preserve">NB-1049</t>
  </si>
  <si>
    <t xml:space="preserve">NB-1050</t>
  </si>
  <si>
    <t xml:space="preserve">NB-1051</t>
  </si>
  <si>
    <t xml:space="preserve">NB-1052</t>
  </si>
  <si>
    <t xml:space="preserve">NB-1053</t>
  </si>
  <si>
    <t xml:space="preserve">NB-1054</t>
  </si>
  <si>
    <t xml:space="preserve">NB-1055</t>
  </si>
  <si>
    <t xml:space="preserve">NB-1056</t>
  </si>
  <si>
    <t xml:space="preserve">NB-1057</t>
  </si>
  <si>
    <t xml:space="preserve">NB-1058</t>
  </si>
  <si>
    <t xml:space="preserve">NB-1059</t>
  </si>
  <si>
    <t xml:space="preserve">NB-1060</t>
  </si>
  <si>
    <t xml:space="preserve">NB-1061</t>
  </si>
  <si>
    <t xml:space="preserve">NB-1062</t>
  </si>
  <si>
    <t xml:space="preserve">NB-1063</t>
  </si>
  <si>
    <t xml:space="preserve">NB-1064</t>
  </si>
  <si>
    <t xml:space="preserve">NB-1065</t>
  </si>
  <si>
    <t xml:space="preserve">NB-1066</t>
  </si>
  <si>
    <t xml:space="preserve">NB-1067</t>
  </si>
  <si>
    <t xml:space="preserve">NB-1068</t>
  </si>
  <si>
    <t xml:space="preserve">NB-1069</t>
  </si>
  <si>
    <t xml:space="preserve">NB-1070</t>
  </si>
  <si>
    <t xml:space="preserve">NB-1071</t>
  </si>
  <si>
    <t xml:space="preserve">NB-1072</t>
  </si>
  <si>
    <t xml:space="preserve">NB-1073</t>
  </si>
  <si>
    <t xml:space="preserve">NB-1074</t>
  </si>
  <si>
    <t xml:space="preserve">NB-1075</t>
  </si>
  <si>
    <t xml:space="preserve">NB-1076</t>
  </si>
  <si>
    <t xml:space="preserve">NB-1077</t>
  </si>
  <si>
    <t xml:space="preserve">NB-1078</t>
  </si>
  <si>
    <t xml:space="preserve">NB-1079</t>
  </si>
  <si>
    <t xml:space="preserve">NB-1080</t>
  </si>
  <si>
    <t xml:space="preserve">NB-1081</t>
  </si>
  <si>
    <t xml:space="preserve">NB-1082</t>
  </si>
  <si>
    <t xml:space="preserve">NB-1083</t>
  </si>
  <si>
    <t xml:space="preserve">NB-1084</t>
  </si>
  <si>
    <t xml:space="preserve">NB-1085</t>
  </si>
  <si>
    <t xml:space="preserve">NB-1086</t>
  </si>
  <si>
    <t xml:space="preserve">NB-1087</t>
  </si>
  <si>
    <t xml:space="preserve">NB-1088</t>
  </si>
  <si>
    <t xml:space="preserve">NB-1089</t>
  </si>
  <si>
    <t xml:space="preserve">NB-1090</t>
  </si>
  <si>
    <t xml:space="preserve">NB-1091</t>
  </si>
  <si>
    <t xml:space="preserve">NB-1092</t>
  </si>
  <si>
    <t xml:space="preserve">NB-1093</t>
  </si>
  <si>
    <t xml:space="preserve">NB-1094</t>
  </si>
  <si>
    <t xml:space="preserve">NB-1095</t>
  </si>
  <si>
    <t xml:space="preserve">NB-1096</t>
  </si>
  <si>
    <t xml:space="preserve">NB-1097</t>
  </si>
  <si>
    <t xml:space="preserve">NB-1098</t>
  </si>
  <si>
    <t xml:space="preserve">NB-1099</t>
  </si>
  <si>
    <t xml:space="preserve">NB-1100</t>
  </si>
  <si>
    <t xml:space="preserve">NB-1101</t>
  </si>
  <si>
    <t xml:space="preserve">NB-1102</t>
  </si>
  <si>
    <t xml:space="preserve">NB-1103</t>
  </si>
  <si>
    <t xml:space="preserve">NB-1104</t>
  </si>
  <si>
    <t xml:space="preserve">NB-1105</t>
  </si>
  <si>
    <t xml:space="preserve">NB-1106</t>
  </si>
  <si>
    <t xml:space="preserve">NB-1107</t>
  </si>
  <si>
    <t xml:space="preserve">NB-1108</t>
  </si>
  <si>
    <t xml:space="preserve">NB-1109</t>
  </si>
  <si>
    <t xml:space="preserve">NB-1110</t>
  </si>
  <si>
    <t xml:space="preserve">NB-1111</t>
  </si>
  <si>
    <t xml:space="preserve">NB-1112</t>
  </si>
  <si>
    <t xml:space="preserve">NB-1113</t>
  </si>
  <si>
    <t xml:space="preserve">NB-1114</t>
  </si>
  <si>
    <t xml:space="preserve">Nr NIR</t>
  </si>
  <si>
    <t xml:space="preserve">Furnizor</t>
  </si>
  <si>
    <t xml:space="preserve">Cod produs</t>
  </si>
  <si>
    <t xml:space="preserve">Cost unitar fara TVA</t>
  </si>
  <si>
    <t xml:space="preserve">TVA deductibil</t>
  </si>
  <si>
    <t xml:space="preserve">NIR-439</t>
  </si>
  <si>
    <t xml:space="preserve">Conex Distributie SRL</t>
  </si>
  <si>
    <t xml:space="preserve">P103</t>
  </si>
  <si>
    <t xml:space="preserve">NIR-440</t>
  </si>
  <si>
    <t xml:space="preserve">DataStore Distributie SRL</t>
  </si>
  <si>
    <t xml:space="preserve">P113</t>
  </si>
  <si>
    <t xml:space="preserve">NIR-441</t>
  </si>
  <si>
    <t xml:space="preserve">TechSource Import SRL</t>
  </si>
  <si>
    <t xml:space="preserve">P109</t>
  </si>
  <si>
    <t xml:space="preserve">NIR-442</t>
  </si>
  <si>
    <t xml:space="preserve">P101</t>
  </si>
  <si>
    <t xml:space="preserve">NIR-443</t>
  </si>
  <si>
    <t xml:space="preserve">P114</t>
  </si>
  <si>
    <t xml:space="preserve">NIR-444</t>
  </si>
  <si>
    <t xml:space="preserve">P112</t>
  </si>
  <si>
    <t xml:space="preserve">NIR-445</t>
  </si>
  <si>
    <t xml:space="preserve">P107</t>
  </si>
  <si>
    <t xml:space="preserve">P108</t>
  </si>
  <si>
    <t xml:space="preserve">NIR-446</t>
  </si>
  <si>
    <t xml:space="preserve">NIR-447</t>
  </si>
  <si>
    <t xml:space="preserve">P102</t>
  </si>
  <si>
    <t xml:space="preserve">NIR-448</t>
  </si>
  <si>
    <t xml:space="preserve">SoundLine Trading SRL</t>
  </si>
  <si>
    <t xml:space="preserve">P105</t>
  </si>
  <si>
    <t xml:space="preserve">NIR-449</t>
  </si>
  <si>
    <t xml:space="preserve">NIR-450</t>
  </si>
  <si>
    <t xml:space="preserve">P106</t>
  </si>
  <si>
    <t xml:space="preserve">NIR-451</t>
  </si>
  <si>
    <t xml:space="preserve">NIR-452</t>
  </si>
  <si>
    <t xml:space="preserve">P111</t>
  </si>
  <si>
    <t xml:space="preserve">NIR-453</t>
  </si>
  <si>
    <t xml:space="preserve">NIR-454</t>
  </si>
  <si>
    <t xml:space="preserve">NIR-455</t>
  </si>
  <si>
    <t xml:space="preserve">P110</t>
  </si>
  <si>
    <t xml:space="preserve">NIR-456</t>
  </si>
  <si>
    <t xml:space="preserve">NIR-457</t>
  </si>
  <si>
    <t xml:space="preserve">NIR-458</t>
  </si>
  <si>
    <t xml:space="preserve">NIR-459</t>
  </si>
  <si>
    <t xml:space="preserve">NIR-460</t>
  </si>
  <si>
    <t xml:space="preserve">NIR-461</t>
  </si>
  <si>
    <t xml:space="preserve">NIR-462</t>
  </si>
  <si>
    <t xml:space="preserve">NIR-463</t>
  </si>
  <si>
    <t xml:space="preserve">NIR-464</t>
  </si>
  <si>
    <t xml:space="preserve">NIR-465</t>
  </si>
  <si>
    <t xml:space="preserve">NIR-466</t>
  </si>
  <si>
    <t xml:space="preserve">NIR-467</t>
  </si>
  <si>
    <t xml:space="preserve">NIR-468</t>
  </si>
  <si>
    <t xml:space="preserve">P104</t>
  </si>
  <si>
    <t xml:space="preserve">NIR-469</t>
  </si>
  <si>
    <t xml:space="preserve">NIR-470</t>
  </si>
  <si>
    <t xml:space="preserve">NIR-471</t>
  </si>
  <si>
    <t xml:space="preserve">NIR-472</t>
  </si>
  <si>
    <t xml:space="preserve">NIR-473</t>
  </si>
  <si>
    <t xml:space="preserve">NIR-474</t>
  </si>
  <si>
    <t xml:space="preserve">NIR-475</t>
  </si>
  <si>
    <t xml:space="preserve">NIR-476</t>
  </si>
  <si>
    <t xml:space="preserve">NIR-477</t>
  </si>
  <si>
    <t xml:space="preserve">NIR-478</t>
  </si>
  <si>
    <t xml:space="preserve">NIR-479</t>
  </si>
  <si>
    <t xml:space="preserve">NIR-480</t>
  </si>
  <si>
    <t xml:space="preserve">NIR-481</t>
  </si>
  <si>
    <t xml:space="preserve">NIR-482</t>
  </si>
  <si>
    <t xml:space="preserve">NIR-483</t>
  </si>
  <si>
    <t xml:space="preserve">NIR-484</t>
  </si>
  <si>
    <t xml:space="preserve">NIR-485</t>
  </si>
  <si>
    <t xml:space="preserve">NIR-486</t>
  </si>
  <si>
    <t xml:space="preserve">NIR-487</t>
  </si>
  <si>
    <t xml:space="preserve">NIR-488</t>
  </si>
  <si>
    <t xml:space="preserve">NIR-489</t>
  </si>
  <si>
    <t xml:space="preserve">NIR-490</t>
  </si>
  <si>
    <t xml:space="preserve">NIR-491</t>
  </si>
  <si>
    <t xml:space="preserve">NIR-492</t>
  </si>
  <si>
    <t xml:space="preserve">NIR-493</t>
  </si>
  <si>
    <t xml:space="preserve">NIR-494</t>
  </si>
  <si>
    <t xml:space="preserve">NIR-495</t>
  </si>
  <si>
    <t xml:space="preserve">NIR-496</t>
  </si>
  <si>
    <t xml:space="preserve">NIR-497</t>
  </si>
  <si>
    <t xml:space="preserve">NIR-498</t>
  </si>
  <si>
    <t xml:space="preserve">NIR-499</t>
  </si>
  <si>
    <t xml:space="preserve">NIR-500</t>
  </si>
  <si>
    <t xml:space="preserve">NIR-501</t>
  </si>
  <si>
    <t xml:space="preserve">NIR-502</t>
  </si>
  <si>
    <t xml:space="preserve">NIR-503</t>
  </si>
  <si>
    <t xml:space="preserve">NIR-504</t>
  </si>
  <si>
    <t xml:space="preserve">NIR-505</t>
  </si>
  <si>
    <t xml:space="preserve">NIR-506</t>
  </si>
  <si>
    <t xml:space="preserve">NIR-507</t>
  </si>
  <si>
    <t xml:space="preserve">NIR-508</t>
  </si>
  <si>
    <t xml:space="preserve">NIR-509</t>
  </si>
  <si>
    <t xml:space="preserve">NIR-510</t>
  </si>
  <si>
    <t xml:space="preserve">NIR-511</t>
  </si>
  <si>
    <t xml:space="preserve">NIR-512</t>
  </si>
  <si>
    <t xml:space="preserve">NIR-513</t>
  </si>
  <si>
    <t xml:space="preserve">NIR-514</t>
  </si>
  <si>
    <t xml:space="preserve">NIR-515</t>
  </si>
  <si>
    <t xml:space="preserve">NIR-516</t>
  </si>
  <si>
    <t xml:space="preserve">NIR-517</t>
  </si>
  <si>
    <t xml:space="preserve">NIR-518</t>
  </si>
  <si>
    <t xml:space="preserve">NIR-519</t>
  </si>
  <si>
    <t xml:space="preserve">NIR-520</t>
  </si>
  <si>
    <t xml:space="preserve">NIR-521</t>
  </si>
  <si>
    <t xml:space="preserve">NIR-522</t>
  </si>
  <si>
    <t xml:space="preserve">NIR-523</t>
  </si>
  <si>
    <t xml:space="preserve">NIR-524</t>
  </si>
  <si>
    <t xml:space="preserve">NIR-525</t>
  </si>
  <si>
    <t xml:space="preserve">NIR-526</t>
  </si>
  <si>
    <t xml:space="preserve">Descriere</t>
  </si>
  <si>
    <t xml:space="preserve">Suma fara TVA</t>
  </si>
  <si>
    <t xml:space="preserve">Cota TVA</t>
  </si>
  <si>
    <t xml:space="preserve">Chirie</t>
  </si>
  <si>
    <t xml:space="preserve">Chirie spatiu birou + depozit</t>
  </si>
  <si>
    <t xml:space="preserve">Imobiliare Centru SRL</t>
  </si>
  <si>
    <t xml:space="preserve">Utilitati</t>
  </si>
  <si>
    <t xml:space="preserve">Energie electrica iunie</t>
  </si>
  <si>
    <t xml:space="preserve">Enel Energie (fictiv)</t>
  </si>
  <si>
    <t xml:space="preserve">Apa si canalizare iunie</t>
  </si>
  <si>
    <t xml:space="preserve">Apa Nova (fictiv)</t>
  </si>
  <si>
    <t xml:space="preserve">Gaz iunie</t>
  </si>
  <si>
    <t xml:space="preserve">Engie (fictiv)</t>
  </si>
  <si>
    <t xml:space="preserve">Internet fibra + telefonie</t>
  </si>
  <si>
    <t xml:space="preserve">Digi (fictiv)</t>
  </si>
  <si>
    <t xml:space="preserve">Contabilitate</t>
  </si>
  <si>
    <t xml:space="preserve">Servicii contabilitate iulie</t>
  </si>
  <si>
    <t xml:space="preserve">Cifra Exacta SRL</t>
  </si>
  <si>
    <t xml:space="preserve">Software</t>
  </si>
  <si>
    <t xml:space="preserve">Abonamente SaaS (facturare, email, cloud)</t>
  </si>
  <si>
    <t xml:space="preserve">Diversi</t>
  </si>
  <si>
    <t xml:space="preserve">Marketing</t>
  </si>
  <si>
    <t xml:space="preserve">Reclame online iulie</t>
  </si>
  <si>
    <t xml:space="preserve">Meta / Google (fictiv)</t>
  </si>
  <si>
    <t xml:space="preserve">Transport</t>
  </si>
  <si>
    <t xml:space="preserve">Curierat livrari</t>
  </si>
  <si>
    <t xml:space="preserve">FAN Courier (fictiv)</t>
  </si>
  <si>
    <t xml:space="preserve">Consumabile</t>
  </si>
  <si>
    <t xml:space="preserve">Ambalaje, banda, etichete</t>
  </si>
  <si>
    <t xml:space="preserve">Pack Pro SRL</t>
  </si>
  <si>
    <t xml:space="preserve">Mentenanta</t>
  </si>
  <si>
    <t xml:space="preserve">Reparatie raft metalic depozit</t>
  </si>
  <si>
    <t xml:space="preserve">Metal Rack Service SRL</t>
  </si>
  <si>
    <t xml:space="preserve">Banca</t>
  </si>
  <si>
    <t xml:space="preserve">Comisioane bancare</t>
  </si>
  <si>
    <t xml:space="preserve">Banca fictiva</t>
  </si>
  <si>
    <t xml:space="preserve">Energie electrica iulie</t>
  </si>
  <si>
    <t xml:space="preserve">Apa si canalizare iulie</t>
  </si>
  <si>
    <t xml:space="preserve">Gaz iulie</t>
  </si>
  <si>
    <t xml:space="preserve">Servicii contabilitate august</t>
  </si>
  <si>
    <t xml:space="preserve">Reclame online august (campanie back-to-school)</t>
  </si>
  <si>
    <t xml:space="preserve">Echipamente IT</t>
  </si>
  <si>
    <t xml:space="preserve">Imprimanta etichete termice</t>
  </si>
  <si>
    <t xml:space="preserve">Office Direct SRL</t>
  </si>
  <si>
    <t xml:space="preserve">Energie electrica august</t>
  </si>
  <si>
    <t xml:space="preserve">Apa si canalizare august</t>
  </si>
  <si>
    <t xml:space="preserve">Gaz august</t>
  </si>
  <si>
    <t xml:space="preserve">Servicii contabilitate septembrie</t>
  </si>
  <si>
    <t xml:space="preserve">Reclame online septembrie</t>
  </si>
  <si>
    <t xml:space="preserve">Revizie aer conditionat</t>
  </si>
  <si>
    <t xml:space="preserve">Clima Service SRL</t>
  </si>
  <si>
    <t xml:space="preserve">Nota: comisioanele bancare sunt scutite de TVA; apa/canalizare are cota redusa.</t>
  </si>
  <si>
    <t xml:space="preserve">Nume</t>
  </si>
  <si>
    <t xml:space="preserve">Functie</t>
  </si>
  <si>
    <t xml:space="preserve">Zile lucrate</t>
  </si>
  <si>
    <t xml:space="preserve">Salariu brut</t>
  </si>
  <si>
    <t xml:space="preserve">CAS 25%</t>
  </si>
  <si>
    <t xml:space="preserve">CASS 10%</t>
  </si>
  <si>
    <t xml:space="preserve">Baza impozabila</t>
  </si>
  <si>
    <t xml:space="preserve">Impozit 10%</t>
  </si>
  <si>
    <t xml:space="preserve">Salariu net</t>
  </si>
  <si>
    <t xml:space="preserve">CAM 2,25%</t>
  </si>
  <si>
    <t xml:space="preserve">Cost total angajator</t>
  </si>
  <si>
    <t xml:space="preserve">Andrei Popescu</t>
  </si>
  <si>
    <t xml:space="preserve">Director general</t>
  </si>
  <si>
    <t xml:space="preserve">Ioana Marin</t>
  </si>
  <si>
    <t xml:space="preserve">Contabil intern</t>
  </si>
  <si>
    <t xml:space="preserve">Mihai Dobre</t>
  </si>
  <si>
    <t xml:space="preserve">Agent vanzari</t>
  </si>
  <si>
    <t xml:space="preserve">Elena Stan</t>
  </si>
  <si>
    <t xml:space="preserve">Radu Ilie</t>
  </si>
  <si>
    <t xml:space="preserve">Gestionar depozit</t>
  </si>
  <si>
    <t xml:space="preserve">Cristina Vlad</t>
  </si>
  <si>
    <t xml:space="preserve">Customer support</t>
  </si>
  <si>
    <t xml:space="preserve">Stoc initial</t>
  </si>
  <si>
    <t xml:space="preserve">Intrari (NIR)</t>
  </si>
  <si>
    <t xml:space="preserve">Iesiri (vanzari)</t>
  </si>
  <si>
    <t xml:space="preserve">Stoc final</t>
  </si>
  <si>
    <t xml:space="preserve">Cost unitar</t>
  </si>
  <si>
    <t xml:space="preserve">Valoare stoc final</t>
  </si>
  <si>
    <t xml:space="preserve">Control: initial = final luna anterioara</t>
  </si>
  <si>
    <t xml:space="preserve">Stoc de deschidere</t>
  </si>
  <si>
    <t xml:space="preserve">Tip client</t>
  </si>
  <si>
    <t xml:space="preserve">Oras</t>
  </si>
  <si>
    <t xml:space="preserve">Agent responsabil</t>
  </si>
  <si>
    <t xml:space="preserve">Vanzari iulie</t>
  </si>
  <si>
    <t xml:space="preserve">Vanzari august</t>
  </si>
  <si>
    <t xml:space="preserve">Vanzari septembrie</t>
  </si>
  <si>
    <t xml:space="preserve">Total trimestru</t>
  </si>
  <si>
    <t xml:space="preserve">Creante la 30.09 (cu TVA)</t>
  </si>
  <si>
    <t xml:space="preserve">B2B</t>
  </si>
  <si>
    <t xml:space="preserve">Bucuresti</t>
  </si>
  <si>
    <t xml:space="preserve">Cluj-Napoca</t>
  </si>
  <si>
    <t xml:space="preserve">Brasov</t>
  </si>
  <si>
    <t xml:space="preserve">Ploiesti</t>
  </si>
  <si>
    <t xml:space="preserve">Timisoara</t>
  </si>
  <si>
    <t xml:space="preserve">Marketplace</t>
  </si>
  <si>
    <t xml:space="preserve">-</t>
  </si>
  <si>
    <t xml:space="preserve">Online</t>
  </si>
  <si>
    <t xml:space="preserve">B2C</t>
  </si>
  <si>
    <t xml:space="preserve">TOTAL</t>
  </si>
  <si>
    <t xml:space="preserve">Furnizor marfa</t>
  </si>
  <si>
    <t xml:space="preserve">Achizitii iulie</t>
  </si>
  <si>
    <t xml:space="preserve">Achizitii august</t>
  </si>
  <si>
    <t xml:space="preserve">Achizitii septembrie</t>
  </si>
  <si>
    <t xml:space="preserve">Total trimestru (fara TVA)</t>
  </si>
  <si>
    <t xml:space="preserve">Decont TVA (estimativ) - T3 2026</t>
  </si>
  <si>
    <t xml:space="preserve">Baza impozabila livrari (vanzari fara TVA)</t>
  </si>
  <si>
    <t xml:space="preserve">TVA colectata</t>
  </si>
  <si>
    <t xml:space="preserve">TVA deductibila - achizitii marfa</t>
  </si>
  <si>
    <t xml:space="preserve">TVA deductibila - cheltuieli</t>
  </si>
  <si>
    <t xml:space="preserve">Total TVA deductibila</t>
  </si>
  <si>
    <t xml:space="preserve">TVA de plata / (de recuperat)</t>
  </si>
  <si>
    <t xml:space="preserve">Firma se presupune platitoare de TVA cu decont lunar (cifra de afaceri peste 100.000 EUR). Chiria se presupune cu TVA (proprietar care a optat pentru taxare).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</si>
</sst>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;\(0.0%\);\-"/>
    <numFmt numFmtId="167" formatCode="#,##0;\(#,##0\);\-"/>
    <numFmt numFmtId="168" formatCode="0.00%"/>
    <numFmt numFmtId="169" formatCode="yyyy\-mm\-dd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SUMIFS(Vanzari!$J:$J,Vanzari!$A:$A,"2026-07")</f>
        <v>149435.57</v>
      </c>
      <c r="C5" s="6" t="n">
        <f aca="false">SUMIFS(Vanzari!$J:$J,Vanzari!$A:$A,"2026-08")</f>
        <v>124418.19</v>
      </c>
      <c r="D5" s="6" t="n">
        <f aca="false">SUMIFS(Vanzari!$J:$J,Vanzari!$A:$A,"2026-09")</f>
        <v>152654.62</v>
      </c>
      <c r="E5" s="6" t="n">
        <f aca="false">SUM(B5:D5)</f>
        <v>426508.38</v>
      </c>
    </row>
    <row r="6" customFormat="false" ht="15" hidden="false" customHeight="false" outlineLevel="0" collapsed="false">
      <c r="A6" s="7" t="s">
        <v>8</v>
      </c>
      <c r="B6" s="8" t="n">
        <f aca="false">SUMIFS(Vanzari!$M:$M,Vanzari!$A:$A,"2026-07")</f>
        <v>84135</v>
      </c>
      <c r="C6" s="8" t="n">
        <f aca="false">SUMIFS(Vanzari!$M:$M,Vanzari!$A:$A,"2026-08")</f>
        <v>69320</v>
      </c>
      <c r="D6" s="8" t="n">
        <f aca="false">SUMIFS(Vanzari!$M:$M,Vanzari!$A:$A,"2026-09")</f>
        <v>84270</v>
      </c>
      <c r="E6" s="9" t="n">
        <f aca="false">SUM(B6:D6)</f>
        <v>237725</v>
      </c>
    </row>
    <row r="7" customFormat="false" ht="15" hidden="false" customHeight="false" outlineLevel="0" collapsed="false">
      <c r="A7" s="10" t="s">
        <v>9</v>
      </c>
      <c r="B7" s="11" t="n">
        <f aca="false">B5-B6</f>
        <v>65300.57</v>
      </c>
      <c r="C7" s="11" t="n">
        <f aca="false">C5-C6</f>
        <v>55098.19</v>
      </c>
      <c r="D7" s="11" t="n">
        <f aca="false">D5-D6</f>
        <v>68384.62</v>
      </c>
      <c r="E7" s="11" t="n">
        <f aca="false">SUM(B7:D7)</f>
        <v>188783.38</v>
      </c>
    </row>
    <row r="8" customFormat="false" ht="15" hidden="false" customHeight="false" outlineLevel="0" collapsed="false">
      <c r="A8" s="7" t="s">
        <v>10</v>
      </c>
      <c r="B8" s="12" t="n">
        <f aca="false">IF(B5=0,0,B7/B5)</f>
        <v>0.436981436213614</v>
      </c>
      <c r="C8" s="12" t="n">
        <f aca="false">IF(C5=0,0,C7/C5)</f>
        <v>0.442846741300448</v>
      </c>
      <c r="D8" s="12" t="n">
        <f aca="false">IF(D5=0,0,D7/D5)</f>
        <v>0.447969540653273</v>
      </c>
      <c r="E8" s="12" t="n">
        <f aca="false">IF(E5=0,0,E7/E5)</f>
        <v>0.442625253928188</v>
      </c>
    </row>
    <row r="9" customFormat="false" ht="15" hidden="false" customHeight="false" outlineLevel="0" collapsed="false">
      <c r="A9" s="5" t="s">
        <v>11</v>
      </c>
      <c r="B9" s="2"/>
      <c r="C9" s="2"/>
      <c r="D9" s="2"/>
      <c r="E9" s="2"/>
    </row>
    <row r="10" customFormat="false" ht="15" hidden="false" customHeight="false" outlineLevel="0" collapsed="false">
      <c r="A10" s="7" t="s">
        <v>12</v>
      </c>
      <c r="B10" s="8" t="n">
        <f aca="false">SUMIFS(Cheltuieli!$F:$F,Cheltuieli!$A:$A,"2026-07",Cheltuieli!$C:$C,"Chirie")</f>
        <v>6500</v>
      </c>
      <c r="C10" s="8" t="n">
        <f aca="false">SUMIFS(Cheltuieli!$F:$F,Cheltuieli!$A:$A,"2026-08",Cheltuieli!$C:$C,"Chirie")</f>
        <v>6500</v>
      </c>
      <c r="D10" s="8" t="n">
        <f aca="false">SUMIFS(Cheltuieli!$F:$F,Cheltuieli!$A:$A,"2026-09",Cheltuieli!$C:$C,"Chirie")</f>
        <v>6500</v>
      </c>
      <c r="E10" s="9" t="n">
        <f aca="false">SUM(B10:D10)</f>
        <v>19500</v>
      </c>
    </row>
    <row r="11" customFormat="false" ht="15" hidden="false" customHeight="false" outlineLevel="0" collapsed="false">
      <c r="A11" s="7" t="s">
        <v>13</v>
      </c>
      <c r="B11" s="8" t="n">
        <f aca="false">SUMIFS(Cheltuieli!$F:$F,Cheltuieli!$A:$A,"2026-07",Cheltuieli!$C:$C,"Utilitati")</f>
        <v>1935.3</v>
      </c>
      <c r="C11" s="8" t="n">
        <f aca="false">SUMIFS(Cheltuieli!$F:$F,Cheltuieli!$A:$A,"2026-08",Cheltuieli!$C:$C,"Utilitati")</f>
        <v>2061.55</v>
      </c>
      <c r="D11" s="8" t="n">
        <f aca="false">SUMIFS(Cheltuieli!$F:$F,Cheltuieli!$A:$A,"2026-09",Cheltuieli!$C:$C,"Utilitati")</f>
        <v>1885.35</v>
      </c>
      <c r="E11" s="9" t="n">
        <f aca="false">SUM(B11:D11)</f>
        <v>5882.2</v>
      </c>
    </row>
    <row r="12" customFormat="false" ht="15" hidden="false" customHeight="false" outlineLevel="0" collapsed="false">
      <c r="A12" s="7" t="s">
        <v>14</v>
      </c>
      <c r="B12" s="8" t="n">
        <f aca="false">SUMIFS(Cheltuieli!$F:$F,Cheltuieli!$A:$A,"2026-07",Cheltuieli!$C:$C,"Contabilitate")</f>
        <v>900</v>
      </c>
      <c r="C12" s="8" t="n">
        <f aca="false">SUMIFS(Cheltuieli!$F:$F,Cheltuieli!$A:$A,"2026-08",Cheltuieli!$C:$C,"Contabilitate")</f>
        <v>900</v>
      </c>
      <c r="D12" s="8" t="n">
        <f aca="false">SUMIFS(Cheltuieli!$F:$F,Cheltuieli!$A:$A,"2026-09",Cheltuieli!$C:$C,"Contabilitate")</f>
        <v>900</v>
      </c>
      <c r="E12" s="9" t="n">
        <f aca="false">SUM(B12:D12)</f>
        <v>2700</v>
      </c>
    </row>
    <row r="13" customFormat="false" ht="15" hidden="false" customHeight="false" outlineLevel="0" collapsed="false">
      <c r="A13" s="7" t="s">
        <v>15</v>
      </c>
      <c r="B13" s="8" t="n">
        <f aca="false">SUMIFS(Cheltuieli!$F:$F,Cheltuieli!$A:$A,"2026-07",Cheltuieli!$C:$C,"Software")</f>
        <v>420</v>
      </c>
      <c r="C13" s="8" t="n">
        <f aca="false">SUMIFS(Cheltuieli!$F:$F,Cheltuieli!$A:$A,"2026-08",Cheltuieli!$C:$C,"Software")</f>
        <v>420</v>
      </c>
      <c r="D13" s="8" t="n">
        <f aca="false">SUMIFS(Cheltuieli!$F:$F,Cheltuieli!$A:$A,"2026-09",Cheltuieli!$C:$C,"Software")</f>
        <v>420</v>
      </c>
      <c r="E13" s="9" t="n">
        <f aca="false">SUM(B13:D13)</f>
        <v>1260</v>
      </c>
    </row>
    <row r="14" customFormat="false" ht="15" hidden="false" customHeight="false" outlineLevel="0" collapsed="false">
      <c r="A14" s="7" t="s">
        <v>16</v>
      </c>
      <c r="B14" s="8" t="n">
        <f aca="false">SUMIFS(Cheltuieli!$F:$F,Cheltuieli!$A:$A,"2026-07",Cheltuieli!$C:$C,"Marketing")</f>
        <v>2100</v>
      </c>
      <c r="C14" s="8" t="n">
        <f aca="false">SUMIFS(Cheltuieli!$F:$F,Cheltuieli!$A:$A,"2026-08",Cheltuieli!$C:$C,"Marketing")</f>
        <v>2650</v>
      </c>
      <c r="D14" s="8" t="n">
        <f aca="false">SUMIFS(Cheltuieli!$F:$F,Cheltuieli!$A:$A,"2026-09",Cheltuieli!$C:$C,"Marketing")</f>
        <v>2300</v>
      </c>
      <c r="E14" s="9" t="n">
        <f aca="false">SUM(B14:D14)</f>
        <v>7050</v>
      </c>
    </row>
    <row r="15" customFormat="false" ht="15" hidden="false" customHeight="false" outlineLevel="0" collapsed="false">
      <c r="A15" s="7" t="s">
        <v>17</v>
      </c>
      <c r="B15" s="8" t="n">
        <f aca="false">SUMIFS(Cheltuieli!$F:$F,Cheltuieli!$A:$A,"2026-07",Cheltuieli!$C:$C,"Transport")</f>
        <v>1045.2</v>
      </c>
      <c r="C15" s="8" t="n">
        <f aca="false">SUMIFS(Cheltuieli!$F:$F,Cheltuieli!$A:$A,"2026-08",Cheltuieli!$C:$C,"Transport")</f>
        <v>985.7</v>
      </c>
      <c r="D15" s="8" t="n">
        <f aca="false">SUMIFS(Cheltuieli!$F:$F,Cheltuieli!$A:$A,"2026-09",Cheltuieli!$C:$C,"Transport")</f>
        <v>1120.5</v>
      </c>
      <c r="E15" s="9" t="n">
        <f aca="false">SUM(B15:D15)</f>
        <v>3151.4</v>
      </c>
    </row>
    <row r="16" customFormat="false" ht="15" hidden="false" customHeight="false" outlineLevel="0" collapsed="false">
      <c r="A16" s="7" t="s">
        <v>18</v>
      </c>
      <c r="B16" s="8" t="n">
        <f aca="false">SUMIFS(Cheltuieli!$F:$F,Cheltuieli!$A:$A,"2026-07",Cheltuieli!$C:$C,"Consumabile")</f>
        <v>340.5</v>
      </c>
      <c r="C16" s="8" t="n">
        <f aca="false">SUMIFS(Cheltuieli!$F:$F,Cheltuieli!$A:$A,"2026-08",Cheltuieli!$C:$C,"Consumabile")</f>
        <v>310.25</v>
      </c>
      <c r="D16" s="8" t="n">
        <f aca="false">SUMIFS(Cheltuieli!$F:$F,Cheltuieli!$A:$A,"2026-09",Cheltuieli!$C:$C,"Consumabile")</f>
        <v>365.8</v>
      </c>
      <c r="E16" s="9" t="n">
        <f aca="false">SUM(B16:D16)</f>
        <v>1016.55</v>
      </c>
    </row>
    <row r="17" customFormat="false" ht="15" hidden="false" customHeight="false" outlineLevel="0" collapsed="false">
      <c r="A17" s="7" t="s">
        <v>19</v>
      </c>
      <c r="B17" s="8" t="n">
        <f aca="false">SUMIFS(Cheltuieli!$F:$F,Cheltuieli!$A:$A,"2026-07",Cheltuieli!$C:$C,"Mentenanta")</f>
        <v>620</v>
      </c>
      <c r="C17" s="8" t="n">
        <f aca="false">SUMIFS(Cheltuieli!$F:$F,Cheltuieli!$A:$A,"2026-08",Cheltuieli!$C:$C,"Mentenanta")</f>
        <v>0</v>
      </c>
      <c r="D17" s="8" t="n">
        <f aca="false">SUMIFS(Cheltuieli!$F:$F,Cheltuieli!$A:$A,"2026-09",Cheltuieli!$C:$C,"Mentenanta")</f>
        <v>450</v>
      </c>
      <c r="E17" s="9" t="n">
        <f aca="false">SUM(B17:D17)</f>
        <v>1070</v>
      </c>
    </row>
    <row r="18" customFormat="false" ht="15" hidden="false" customHeight="false" outlineLevel="0" collapsed="false">
      <c r="A18" s="7" t="s">
        <v>20</v>
      </c>
      <c r="B18" s="8" t="n">
        <f aca="false">SUMIFS(Cheltuieli!$F:$F,Cheltuieli!$A:$A,"2026-07",Cheltuieli!$C:$C,"Banca")</f>
        <v>58.9</v>
      </c>
      <c r="C18" s="8" t="n">
        <f aca="false">SUMIFS(Cheltuieli!$F:$F,Cheltuieli!$A:$A,"2026-08",Cheltuieli!$C:$C,"Banca")</f>
        <v>55.4</v>
      </c>
      <c r="D18" s="8" t="n">
        <f aca="false">SUMIFS(Cheltuieli!$F:$F,Cheltuieli!$A:$A,"2026-09",Cheltuieli!$C:$C,"Banca")</f>
        <v>62.3</v>
      </c>
      <c r="E18" s="9" t="n">
        <f aca="false">SUM(B18:D18)</f>
        <v>176.6</v>
      </c>
    </row>
    <row r="19" customFormat="false" ht="15" hidden="false" customHeight="false" outlineLevel="0" collapsed="false">
      <c r="A19" s="7" t="s">
        <v>21</v>
      </c>
      <c r="B19" s="8" t="n">
        <f aca="false">SUMIFS(Cheltuieli!$F:$F,Cheltuieli!$A:$A,"2026-07",Cheltuieli!$C:$C,"Echipamente IT")</f>
        <v>0</v>
      </c>
      <c r="C19" s="8" t="n">
        <f aca="false">SUMIFS(Cheltuieli!$F:$F,Cheltuieli!$A:$A,"2026-08",Cheltuieli!$C:$C,"Echipamente IT")</f>
        <v>780</v>
      </c>
      <c r="D19" s="8" t="n">
        <f aca="false">SUMIFS(Cheltuieli!$F:$F,Cheltuieli!$A:$A,"2026-09",Cheltuieli!$C:$C,"Echipamente IT")</f>
        <v>0</v>
      </c>
      <c r="E19" s="9" t="n">
        <f aca="false">SUM(B19:D19)</f>
        <v>780</v>
      </c>
    </row>
    <row r="20" customFormat="false" ht="15" hidden="false" customHeight="false" outlineLevel="0" collapsed="false">
      <c r="A20" s="7" t="s">
        <v>22</v>
      </c>
      <c r="B20" s="8" t="n">
        <f aca="false">SUMIFS(Salarii!$E:$E,Salarii!$A:$A,"2026-07")</f>
        <v>34525</v>
      </c>
      <c r="C20" s="8" t="n">
        <f aca="false">SUMIFS(Salarii!$E:$E,Salarii!$A:$A,"2026-08")</f>
        <v>34525</v>
      </c>
      <c r="D20" s="8" t="n">
        <f aca="false">SUMIFS(Salarii!$E:$E,Salarii!$A:$A,"2026-09")</f>
        <v>34525</v>
      </c>
      <c r="E20" s="9" t="n">
        <f aca="false">SUM(B20:D20)</f>
        <v>103575</v>
      </c>
    </row>
    <row r="21" customFormat="false" ht="15" hidden="false" customHeight="false" outlineLevel="0" collapsed="false">
      <c r="A21" s="7" t="s">
        <v>23</v>
      </c>
      <c r="B21" s="8" t="n">
        <f aca="false">SUMIFS(Salarii!$K:$K,Salarii!$A:$A,"2026-07")</f>
        <v>778</v>
      </c>
      <c r="C21" s="8" t="n">
        <f aca="false">SUMIFS(Salarii!$K:$K,Salarii!$A:$A,"2026-08")</f>
        <v>778</v>
      </c>
      <c r="D21" s="8" t="n">
        <f aca="false">SUMIFS(Salarii!$K:$K,Salarii!$A:$A,"2026-09")</f>
        <v>778</v>
      </c>
      <c r="E21" s="9" t="n">
        <f aca="false">SUM(B21:D21)</f>
        <v>2334</v>
      </c>
    </row>
    <row r="22" customFormat="false" ht="15" hidden="false" customHeight="false" outlineLevel="0" collapsed="false">
      <c r="A22" s="10" t="s">
        <v>24</v>
      </c>
      <c r="B22" s="11" t="n">
        <f aca="false">SUM(B10:B21)</f>
        <v>49222.9</v>
      </c>
      <c r="C22" s="11" t="n">
        <f aca="false">SUM(C10:C21)</f>
        <v>49965.9</v>
      </c>
      <c r="D22" s="11" t="n">
        <f aca="false">SUM(D10:D21)</f>
        <v>49306.95</v>
      </c>
      <c r="E22" s="11" t="n">
        <f aca="false">SUM(B22:D22)</f>
        <v>148495.75</v>
      </c>
    </row>
    <row r="23" customFormat="false" ht="15" hidden="false" customHeight="false" outlineLevel="0" collapsed="false">
      <c r="A23" s="2"/>
      <c r="B23" s="2"/>
      <c r="C23" s="2"/>
      <c r="D23" s="2"/>
      <c r="E23" s="2"/>
    </row>
    <row r="24" customFormat="false" ht="15" hidden="false" customHeight="false" outlineLevel="0" collapsed="false">
      <c r="A24" s="5" t="s">
        <v>25</v>
      </c>
      <c r="B24" s="6" t="n">
        <f aca="false">B7-B22</f>
        <v>16077.67</v>
      </c>
      <c r="C24" s="6" t="n">
        <f aca="false">C7-C22</f>
        <v>5132.29</v>
      </c>
      <c r="D24" s="6" t="n">
        <f aca="false">D7-D22</f>
        <v>19077.67</v>
      </c>
      <c r="E24" s="6" t="n">
        <f aca="false">SUM(B24:D24)</f>
        <v>40287.63</v>
      </c>
    </row>
    <row r="25" customFormat="false" ht="15" hidden="false" customHeight="false" outlineLevel="0" collapsed="false">
      <c r="A25" s="7" t="s">
        <v>26</v>
      </c>
      <c r="B25" s="8" t="n">
        <f aca="false">MAX(0,ROUND(B24*Ipoteze!$B$10,0))</f>
        <v>2572</v>
      </c>
      <c r="C25" s="8" t="n">
        <f aca="false">MAX(0,ROUND(C24*Ipoteze!$B$10,0))</f>
        <v>821</v>
      </c>
      <c r="D25" s="8" t="n">
        <f aca="false">MAX(0,ROUND(D24*Ipoteze!$B$10,0))</f>
        <v>3052</v>
      </c>
      <c r="E25" s="9" t="n">
        <f aca="false">SUM(B25:D25)</f>
        <v>6445</v>
      </c>
    </row>
    <row r="26" customFormat="false" ht="15" hidden="false" customHeight="false" outlineLevel="0" collapsed="false">
      <c r="A26" s="10" t="s">
        <v>27</v>
      </c>
      <c r="B26" s="11" t="n">
        <f aca="false">B24-B25</f>
        <v>13505.67</v>
      </c>
      <c r="C26" s="11" t="n">
        <f aca="false">C24-C25</f>
        <v>4311.29</v>
      </c>
      <c r="D26" s="11" t="n">
        <f aca="false">D24-D25</f>
        <v>16025.67</v>
      </c>
      <c r="E26" s="11" t="n">
        <f aca="false">SUM(B26:D26)</f>
        <v>33842.63</v>
      </c>
    </row>
    <row r="27" customFormat="false" ht="15" hidden="false" customHeight="false" outlineLevel="0" collapsed="false">
      <c r="A27" s="7" t="s">
        <v>28</v>
      </c>
      <c r="B27" s="12" t="n">
        <f aca="false">IF(B5=0,0,B26/B5)</f>
        <v>0.0903778799117239</v>
      </c>
      <c r="C27" s="12" t="n">
        <f aca="false">IF(C5=0,0,C26/C5)</f>
        <v>0.0346516052033871</v>
      </c>
      <c r="D27" s="12" t="n">
        <f aca="false">IF(D5=0,0,D26/D5)</f>
        <v>0.104979921341391</v>
      </c>
      <c r="E27" s="12" t="n">
        <f aca="false">IF(E5=0,0,E26/E5)</f>
        <v>0.0793481009681451</v>
      </c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5" t="s">
        <v>29</v>
      </c>
      <c r="B29" s="2"/>
      <c r="C29" s="2"/>
      <c r="D29" s="2"/>
      <c r="E29" s="2"/>
    </row>
    <row r="30" customFormat="false" ht="15" hidden="false" customHeight="false" outlineLevel="0" collapsed="false">
      <c r="A30" s="4" t="s">
        <v>30</v>
      </c>
      <c r="B30" s="4" t="s">
        <v>3</v>
      </c>
      <c r="C30" s="4" t="s">
        <v>4</v>
      </c>
      <c r="D30" s="4" t="s">
        <v>5</v>
      </c>
      <c r="E30" s="4" t="s">
        <v>6</v>
      </c>
    </row>
    <row r="31" customFormat="false" ht="15" hidden="false" customHeight="false" outlineLevel="0" collapsed="false">
      <c r="A31" s="7" t="s">
        <v>31</v>
      </c>
      <c r="B31" s="8" t="n">
        <f aca="false">SUMIFS(Achizitii!$I:$I,Achizitii!$A:$A,"2026-07")</f>
        <v>92900</v>
      </c>
      <c r="C31" s="8" t="n">
        <f aca="false">SUMIFS(Achizitii!$I:$I,Achizitii!$A:$A,"2026-08")</f>
        <v>59240</v>
      </c>
      <c r="D31" s="8" t="n">
        <f aca="false">SUMIFS(Achizitii!$I:$I,Achizitii!$A:$A,"2026-09")</f>
        <v>80955</v>
      </c>
      <c r="E31" s="9" t="n">
        <f aca="false">SUM(B31:D31)</f>
        <v>233095</v>
      </c>
    </row>
    <row r="32" customFormat="false" ht="15" hidden="false" customHeight="false" outlineLevel="0" collapsed="false">
      <c r="A32" s="7" t="s">
        <v>32</v>
      </c>
      <c r="B32" s="8" t="n">
        <f aca="false">SUMIFS(Stocuri!$I:$I,Stocuri!$A:$A,"2026-07")</f>
        <v>43557</v>
      </c>
      <c r="C32" s="8" t="n">
        <f aca="false">SUMIFS(Stocuri!$I:$I,Stocuri!$A:$A,"2026-08")</f>
        <v>33477</v>
      </c>
      <c r="D32" s="8" t="n">
        <f aca="false">SUMIFS(Stocuri!$I:$I,Stocuri!$A:$A,"2026-09")</f>
        <v>30162</v>
      </c>
      <c r="E32" s="8" t="n">
        <f aca="false">D32</f>
        <v>30162</v>
      </c>
    </row>
    <row r="33" customFormat="false" ht="15" hidden="false" customHeight="false" outlineLevel="0" collapsed="false">
      <c r="A33" s="7" t="s">
        <v>33</v>
      </c>
      <c r="B33" s="13" t="n">
        <f aca="false">TVA!B9</f>
        <v>8981.59</v>
      </c>
      <c r="C33" s="13" t="n">
        <f aca="false">TVA!C9</f>
        <v>10642.04</v>
      </c>
      <c r="D33" s="13" t="n">
        <f aca="false">TVA!D9</f>
        <v>12150.3</v>
      </c>
      <c r="E33" s="13" t="n">
        <f aca="false">SUM(B33:D33)</f>
        <v>31773.93</v>
      </c>
    </row>
    <row r="34" customFormat="false" ht="15" hidden="false" customHeight="false" outlineLevel="0" collapsed="false">
      <c r="A34" s="7" t="s">
        <v>34</v>
      </c>
      <c r="B34" s="8" t="n">
        <f aca="false">SUMIFS(Salarii!$J:$J,Salarii!$A:$A,"2026-07")</f>
        <v>20196</v>
      </c>
      <c r="C34" s="8" t="n">
        <f aca="false">SUMIFS(Salarii!$J:$J,Salarii!$A:$A,"2026-08")</f>
        <v>20196</v>
      </c>
      <c r="D34" s="8" t="n">
        <f aca="false">SUMIFS(Salarii!$J:$J,Salarii!$A:$A,"2026-09")</f>
        <v>20196</v>
      </c>
      <c r="E34" s="9" t="n">
        <f aca="false">SUM(B34:D34)</f>
        <v>60588</v>
      </c>
    </row>
    <row r="35" customFormat="false" ht="15" hidden="false" customHeight="false" outlineLevel="0" collapsed="false">
      <c r="A35" s="7" t="s">
        <v>35</v>
      </c>
      <c r="B35" s="8" t="n">
        <f aca="false">SUMIFS(Salarii!$F:$F,Salarii!$A:$A,"2026-07")+SUMIFS(Salarii!$G:$G,Salarii!$A:$A,"2026-07")+SUMIFS(Salarii!$I:$I,Salarii!$A:$A,"2026-07")+SUMIFS(Salarii!$K:$K,Salarii!$A:$A,"2026-07")</f>
        <v>15107</v>
      </c>
      <c r="C35" s="8" t="n">
        <f aca="false">SUMIFS(Salarii!$F:$F,Salarii!$A:$A,"2026-08")+SUMIFS(Salarii!$G:$G,Salarii!$A:$A,"2026-08")+SUMIFS(Salarii!$I:$I,Salarii!$A:$A,"2026-08")+SUMIFS(Salarii!$K:$K,Salarii!$A:$A,"2026-08")</f>
        <v>15107</v>
      </c>
      <c r="D35" s="8" t="n">
        <f aca="false">SUMIFS(Salarii!$F:$F,Salarii!$A:$A,"2026-09")+SUMIFS(Salarii!$G:$G,Salarii!$A:$A,"2026-09")+SUMIFS(Salarii!$I:$I,Salarii!$A:$A,"2026-09")+SUMIFS(Salarii!$K:$K,Salarii!$A:$A,"2026-09")</f>
        <v>15107</v>
      </c>
      <c r="E35" s="9" t="n">
        <f aca="false">SUM(B35:D35)</f>
        <v>45321</v>
      </c>
    </row>
    <row r="36" customFormat="false" ht="15" hidden="false" customHeight="false" outlineLevel="0" collapsed="false">
      <c r="A36" s="7" t="s">
        <v>36</v>
      </c>
      <c r="B36" s="2"/>
      <c r="C36" s="2"/>
      <c r="D36" s="2"/>
      <c r="E36" s="13" t="n">
        <f aca="false">Clienti!J10</f>
        <v>141646.71</v>
      </c>
    </row>
    <row r="37" customFormat="false" ht="15" hidden="false" customHeight="false" outlineLevel="0" collapsed="false">
      <c r="A37" s="7" t="s">
        <v>37</v>
      </c>
      <c r="B37" s="14" t="n">
        <f aca="false">COUNTIFS(Vanzari!$A:$A,"2026-07")</f>
        <v>119</v>
      </c>
      <c r="C37" s="14" t="n">
        <f aca="false">COUNTIFS(Vanzari!$A:$A,"2026-08")</f>
        <v>118</v>
      </c>
      <c r="D37" s="14" t="n">
        <f aca="false">COUNTIFS(Vanzari!$A:$A,"2026-09")</f>
        <v>114</v>
      </c>
      <c r="E37" s="15" t="n">
        <f aca="false">SUM(B37:D37)</f>
        <v>351</v>
      </c>
    </row>
    <row r="38" customFormat="false" ht="15" hidden="false" customHeight="false" outlineLevel="0" collapsed="false">
      <c r="A38" s="2"/>
      <c r="B38" s="2"/>
      <c r="C38" s="2"/>
      <c r="D38" s="2"/>
      <c r="E38" s="2"/>
    </row>
    <row r="39" customFormat="false" ht="15" hidden="false" customHeight="false" outlineLevel="0" collapsed="false">
      <c r="A39" s="16" t="s">
        <v>38</v>
      </c>
      <c r="B39" s="2"/>
      <c r="C39" s="2"/>
      <c r="D39" s="2"/>
      <c r="E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39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4" t="s">
        <v>40</v>
      </c>
      <c r="B3" s="4" t="s">
        <v>41</v>
      </c>
      <c r="C3" s="4" t="s">
        <v>42</v>
      </c>
    </row>
    <row r="4" customFormat="false" ht="15" hidden="false" customHeight="false" outlineLevel="0" collapsed="false">
      <c r="A4" s="7" t="s">
        <v>43</v>
      </c>
      <c r="B4" s="17" t="n">
        <v>0.21</v>
      </c>
      <c r="C4" s="7" t="s">
        <v>44</v>
      </c>
    </row>
    <row r="5" customFormat="false" ht="15" hidden="false" customHeight="false" outlineLevel="0" collapsed="false">
      <c r="A5" s="7" t="s">
        <v>45</v>
      </c>
      <c r="B5" s="17" t="n">
        <v>0.11</v>
      </c>
      <c r="C5" s="7" t="s">
        <v>46</v>
      </c>
    </row>
    <row r="6" customFormat="false" ht="15" hidden="false" customHeight="false" outlineLevel="0" collapsed="false">
      <c r="A6" s="7" t="s">
        <v>47</v>
      </c>
      <c r="B6" s="17" t="n">
        <v>0.25</v>
      </c>
      <c r="C6" s="7" t="s">
        <v>48</v>
      </c>
    </row>
    <row r="7" customFormat="false" ht="15" hidden="false" customHeight="false" outlineLevel="0" collapsed="false">
      <c r="A7" s="7" t="s">
        <v>49</v>
      </c>
      <c r="B7" s="17" t="n">
        <v>0.1</v>
      </c>
      <c r="C7" s="7" t="s">
        <v>48</v>
      </c>
    </row>
    <row r="8" customFormat="false" ht="15" hidden="false" customHeight="false" outlineLevel="0" collapsed="false">
      <c r="A8" s="7" t="s">
        <v>50</v>
      </c>
      <c r="B8" s="17" t="n">
        <v>0.1</v>
      </c>
      <c r="C8" s="7" t="s">
        <v>51</v>
      </c>
    </row>
    <row r="9" customFormat="false" ht="15" hidden="false" customHeight="false" outlineLevel="0" collapsed="false">
      <c r="A9" s="7" t="s">
        <v>52</v>
      </c>
      <c r="B9" s="17" t="n">
        <v>0.0225</v>
      </c>
      <c r="C9" s="7" t="s">
        <v>53</v>
      </c>
    </row>
    <row r="10" customFormat="false" ht="15" hidden="false" customHeight="false" outlineLevel="0" collapsed="false">
      <c r="A10" s="7" t="s">
        <v>54</v>
      </c>
      <c r="B10" s="17" t="n">
        <v>0.16</v>
      </c>
      <c r="C10" s="7" t="s">
        <v>55</v>
      </c>
    </row>
    <row r="11" customFormat="false" ht="15" hidden="false" customHeight="false" outlineLevel="0" collapsed="false">
      <c r="A11" s="7" t="s">
        <v>56</v>
      </c>
      <c r="B11" s="18" t="n">
        <v>46295</v>
      </c>
      <c r="C11" s="7" t="s">
        <v>57</v>
      </c>
    </row>
    <row r="12" customFormat="false" ht="15" hidden="false" customHeight="false" outlineLevel="0" collapsed="false">
      <c r="A12" s="2"/>
      <c r="B12" s="2"/>
      <c r="C12" s="2"/>
    </row>
    <row r="13" customFormat="false" ht="15" hidden="false" customHeight="false" outlineLevel="0" collapsed="false">
      <c r="A13" s="3" t="s">
        <v>58</v>
      </c>
      <c r="B13" s="2"/>
      <c r="C13" s="2"/>
    </row>
    <row r="14" customFormat="false" ht="15" hidden="false" customHeight="false" outlineLevel="0" collapsed="false">
      <c r="A14" s="3" t="s">
        <v>59</v>
      </c>
      <c r="B14" s="2"/>
      <c r="C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2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46.25" hidden="false" customHeight="false" outlineLevel="0" collapsed="false">
      <c r="A1" s="4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69</v>
      </c>
      <c r="K1" s="4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</row>
    <row r="2" customFormat="false" ht="15" hidden="false" customHeight="false" outlineLevel="0" collapsed="false">
      <c r="A2" s="2" t="s">
        <v>76</v>
      </c>
      <c r="B2" s="19" t="n">
        <v>46204</v>
      </c>
      <c r="C2" s="2" t="s">
        <v>77</v>
      </c>
      <c r="D2" s="2" t="s">
        <v>78</v>
      </c>
      <c r="E2" s="2" t="s">
        <v>79</v>
      </c>
      <c r="F2" s="2" t="n">
        <v>9</v>
      </c>
      <c r="G2" s="8" t="n">
        <v>169</v>
      </c>
      <c r="H2" s="8" t="n">
        <v>85</v>
      </c>
      <c r="I2" s="2" t="s">
        <v>80</v>
      </c>
      <c r="J2" s="8" t="n">
        <f aca="false">F2*G2</f>
        <v>1521</v>
      </c>
      <c r="K2" s="8" t="n">
        <f aca="false">ROUND(J2*Ipoteze!$B$4,2)</f>
        <v>319.41</v>
      </c>
      <c r="L2" s="8" t="n">
        <f aca="false">J2+K2</f>
        <v>1840.41</v>
      </c>
      <c r="M2" s="8" t="n">
        <f aca="false">F2*H2</f>
        <v>765</v>
      </c>
      <c r="N2" s="2" t="n">
        <f aca="false">INDEX(Clienti!$E:$E,MATCH(I2,Clienti!$A:$A,0))</f>
        <v>15</v>
      </c>
      <c r="O2" s="19" t="n">
        <f aca="false">B2+N2</f>
        <v>46219</v>
      </c>
      <c r="P2" s="2" t="str">
        <f aca="false">IF(O2&gt;Ipoteze!$B$11,"Neincasat","Incasat")</f>
        <v>Incasat</v>
      </c>
    </row>
    <row r="3" customFormat="false" ht="15" hidden="false" customHeight="false" outlineLevel="0" collapsed="false">
      <c r="A3" s="2" t="s">
        <v>76</v>
      </c>
      <c r="B3" s="19" t="n">
        <v>46204</v>
      </c>
      <c r="C3" s="2" t="s">
        <v>81</v>
      </c>
      <c r="D3" s="2" t="s">
        <v>82</v>
      </c>
      <c r="E3" s="2" t="s">
        <v>83</v>
      </c>
      <c r="F3" s="2" t="n">
        <v>1</v>
      </c>
      <c r="G3" s="8" t="n">
        <v>79.99</v>
      </c>
      <c r="H3" s="8" t="n">
        <v>45</v>
      </c>
      <c r="I3" s="2" t="s">
        <v>84</v>
      </c>
      <c r="J3" s="8" t="n">
        <f aca="false">F3*G3</f>
        <v>79.99</v>
      </c>
      <c r="K3" s="8" t="n">
        <f aca="false">ROUND(J3*Ipoteze!$B$4,2)</f>
        <v>16.8</v>
      </c>
      <c r="L3" s="8" t="n">
        <f aca="false">J3+K3</f>
        <v>96.79</v>
      </c>
      <c r="M3" s="8" t="n">
        <f aca="false">F3*H3</f>
        <v>45</v>
      </c>
      <c r="N3" s="2" t="n">
        <f aca="false">INDEX(Clienti!$E:$E,MATCH(I3,Clienti!$A:$A,0))</f>
        <v>0</v>
      </c>
      <c r="O3" s="19" t="n">
        <f aca="false">B3+N3</f>
        <v>46204</v>
      </c>
      <c r="P3" s="2" t="str">
        <f aca="false">IF(O3&gt;Ipoteze!$B$11,"Neincasat","Incasat")</f>
        <v>Incasat</v>
      </c>
    </row>
    <row r="4" customFormat="false" ht="15" hidden="false" customHeight="false" outlineLevel="0" collapsed="false">
      <c r="A4" s="2" t="s">
        <v>76</v>
      </c>
      <c r="B4" s="19" t="n">
        <v>46204</v>
      </c>
      <c r="C4" s="2" t="s">
        <v>85</v>
      </c>
      <c r="D4" s="2" t="s">
        <v>86</v>
      </c>
      <c r="E4" s="2" t="s">
        <v>87</v>
      </c>
      <c r="F4" s="2" t="n">
        <v>12</v>
      </c>
      <c r="G4" s="8" t="n">
        <v>54.9</v>
      </c>
      <c r="H4" s="8" t="n">
        <v>22</v>
      </c>
      <c r="I4" s="2" t="s">
        <v>80</v>
      </c>
      <c r="J4" s="8" t="n">
        <f aca="false">F4*G4</f>
        <v>658.8</v>
      </c>
      <c r="K4" s="8" t="n">
        <f aca="false">ROUND(J4*Ipoteze!$B$4,2)</f>
        <v>138.35</v>
      </c>
      <c r="L4" s="8" t="n">
        <f aca="false">J4+K4</f>
        <v>797.15</v>
      </c>
      <c r="M4" s="8" t="n">
        <f aca="false">F4*H4</f>
        <v>264</v>
      </c>
      <c r="N4" s="2" t="n">
        <f aca="false">INDEX(Clienti!$E:$E,MATCH(I4,Clienti!$A:$A,0))</f>
        <v>15</v>
      </c>
      <c r="O4" s="19" t="n">
        <f aca="false">B4+N4</f>
        <v>46219</v>
      </c>
      <c r="P4" s="2" t="str">
        <f aca="false">IF(O4&gt;Ipoteze!$B$11,"Neincasat","Incasat")</f>
        <v>Incasat</v>
      </c>
    </row>
    <row r="5" customFormat="false" ht="15" hidden="false" customHeight="false" outlineLevel="0" collapsed="false">
      <c r="A5" s="2" t="s">
        <v>76</v>
      </c>
      <c r="B5" s="19" t="n">
        <v>46205</v>
      </c>
      <c r="C5" s="2" t="s">
        <v>88</v>
      </c>
      <c r="D5" s="2" t="s">
        <v>89</v>
      </c>
      <c r="E5" s="2" t="s">
        <v>87</v>
      </c>
      <c r="F5" s="2" t="n">
        <v>1</v>
      </c>
      <c r="G5" s="8" t="n">
        <v>29.99</v>
      </c>
      <c r="H5" s="8" t="n">
        <v>9</v>
      </c>
      <c r="I5" s="2" t="s">
        <v>84</v>
      </c>
      <c r="J5" s="8" t="n">
        <f aca="false">F5*G5</f>
        <v>29.99</v>
      </c>
      <c r="K5" s="8" t="n">
        <f aca="false">ROUND(J5*Ipoteze!$B$4,2)</f>
        <v>6.3</v>
      </c>
      <c r="L5" s="8" t="n">
        <f aca="false">J5+K5</f>
        <v>36.29</v>
      </c>
      <c r="M5" s="8" t="n">
        <f aca="false">F5*H5</f>
        <v>9</v>
      </c>
      <c r="N5" s="2" t="n">
        <f aca="false">INDEX(Clienti!$E:$E,MATCH(I5,Clienti!$A:$A,0))</f>
        <v>0</v>
      </c>
      <c r="O5" s="19" t="n">
        <f aca="false">B5+N5</f>
        <v>46205</v>
      </c>
      <c r="P5" s="2" t="str">
        <f aca="false">IF(O5&gt;Ipoteze!$B$11,"Neincasat","Incasat")</f>
        <v>Incasat</v>
      </c>
    </row>
    <row r="6" customFormat="false" ht="15" hidden="false" customHeight="false" outlineLevel="0" collapsed="false">
      <c r="A6" s="2" t="s">
        <v>76</v>
      </c>
      <c r="B6" s="19" t="n">
        <v>46205</v>
      </c>
      <c r="C6" s="2" t="s">
        <v>90</v>
      </c>
      <c r="D6" s="2" t="s">
        <v>91</v>
      </c>
      <c r="E6" s="2" t="s">
        <v>79</v>
      </c>
      <c r="F6" s="2" t="n">
        <v>2</v>
      </c>
      <c r="G6" s="8" t="n">
        <v>99</v>
      </c>
      <c r="H6" s="8" t="n">
        <v>48</v>
      </c>
      <c r="I6" s="2" t="s">
        <v>92</v>
      </c>
      <c r="J6" s="8" t="n">
        <f aca="false">F6*G6</f>
        <v>198</v>
      </c>
      <c r="K6" s="8" t="n">
        <f aca="false">ROUND(J6*Ipoteze!$B$4,2)</f>
        <v>41.58</v>
      </c>
      <c r="L6" s="8" t="n">
        <f aca="false">J6+K6</f>
        <v>239.58</v>
      </c>
      <c r="M6" s="8" t="n">
        <f aca="false">F6*H6</f>
        <v>96</v>
      </c>
      <c r="N6" s="2" t="n">
        <f aca="false">INDEX(Clienti!$E:$E,MATCH(I6,Clienti!$A:$A,0))</f>
        <v>14</v>
      </c>
      <c r="O6" s="19" t="n">
        <f aca="false">B6+N6</f>
        <v>46219</v>
      </c>
      <c r="P6" s="2" t="str">
        <f aca="false">IF(O6&gt;Ipoteze!$B$11,"Neincasat","Incasat")</f>
        <v>Incasat</v>
      </c>
    </row>
    <row r="7" customFormat="false" ht="15" hidden="false" customHeight="false" outlineLevel="0" collapsed="false">
      <c r="A7" s="2" t="s">
        <v>76</v>
      </c>
      <c r="B7" s="19" t="n">
        <v>46205</v>
      </c>
      <c r="C7" s="2" t="s">
        <v>93</v>
      </c>
      <c r="D7" s="2" t="s">
        <v>94</v>
      </c>
      <c r="E7" s="2" t="s">
        <v>79</v>
      </c>
      <c r="F7" s="2" t="n">
        <v>9</v>
      </c>
      <c r="G7" s="8" t="n">
        <v>49.9</v>
      </c>
      <c r="H7" s="8" t="n">
        <v>19</v>
      </c>
      <c r="I7" s="2" t="s">
        <v>95</v>
      </c>
      <c r="J7" s="8" t="n">
        <f aca="false">F7*G7</f>
        <v>449.1</v>
      </c>
      <c r="K7" s="8" t="n">
        <f aca="false">ROUND(J7*Ipoteze!$B$4,2)</f>
        <v>94.31</v>
      </c>
      <c r="L7" s="8" t="n">
        <f aca="false">J7+K7</f>
        <v>543.41</v>
      </c>
      <c r="M7" s="8" t="n">
        <f aca="false">F7*H7</f>
        <v>171</v>
      </c>
      <c r="N7" s="2" t="n">
        <f aca="false">INDEX(Clienti!$E:$E,MATCH(I7,Clienti!$A:$A,0))</f>
        <v>30</v>
      </c>
      <c r="O7" s="19" t="n">
        <f aca="false">B7+N7</f>
        <v>46235</v>
      </c>
      <c r="P7" s="2" t="str">
        <f aca="false">IF(O7&gt;Ipoteze!$B$11,"Neincasat","Incasat")</f>
        <v>Incasat</v>
      </c>
    </row>
    <row r="8" customFormat="false" ht="15" hidden="false" customHeight="false" outlineLevel="0" collapsed="false">
      <c r="A8" s="2" t="s">
        <v>76</v>
      </c>
      <c r="B8" s="19" t="n">
        <v>46206</v>
      </c>
      <c r="C8" s="2" t="s">
        <v>96</v>
      </c>
      <c r="D8" s="2" t="s">
        <v>97</v>
      </c>
      <c r="E8" s="2" t="s">
        <v>98</v>
      </c>
      <c r="F8" s="2" t="n">
        <v>17</v>
      </c>
      <c r="G8" s="8" t="n">
        <v>449</v>
      </c>
      <c r="H8" s="8" t="n">
        <v>290</v>
      </c>
      <c r="I8" s="2" t="s">
        <v>99</v>
      </c>
      <c r="J8" s="8" t="n">
        <f aca="false">F8*G8</f>
        <v>7633</v>
      </c>
      <c r="K8" s="8" t="n">
        <f aca="false">ROUND(J8*Ipoteze!$B$4,2)</f>
        <v>1602.93</v>
      </c>
      <c r="L8" s="8" t="n">
        <f aca="false">J8+K8</f>
        <v>9235.93</v>
      </c>
      <c r="M8" s="8" t="n">
        <f aca="false">F8*H8</f>
        <v>4930</v>
      </c>
      <c r="N8" s="2" t="n">
        <f aca="false">INDEX(Clienti!$E:$E,MATCH(I8,Clienti!$A:$A,0))</f>
        <v>30</v>
      </c>
      <c r="O8" s="19" t="n">
        <f aca="false">B8+N8</f>
        <v>46236</v>
      </c>
      <c r="P8" s="2" t="str">
        <f aca="false">IF(O8&gt;Ipoteze!$B$11,"Neincasat","Incasat")</f>
        <v>Incasat</v>
      </c>
    </row>
    <row r="9" customFormat="false" ht="15" hidden="false" customHeight="false" outlineLevel="0" collapsed="false">
      <c r="A9" s="2" t="s">
        <v>76</v>
      </c>
      <c r="B9" s="19" t="n">
        <v>46206</v>
      </c>
      <c r="C9" s="2" t="s">
        <v>100</v>
      </c>
      <c r="D9" s="2" t="s">
        <v>101</v>
      </c>
      <c r="E9" s="2" t="s">
        <v>79</v>
      </c>
      <c r="F9" s="2" t="n">
        <v>1</v>
      </c>
      <c r="G9" s="8" t="n">
        <v>149</v>
      </c>
      <c r="H9" s="8" t="n">
        <v>75</v>
      </c>
      <c r="I9" s="2" t="s">
        <v>84</v>
      </c>
      <c r="J9" s="8" t="n">
        <f aca="false">F9*G9</f>
        <v>149</v>
      </c>
      <c r="K9" s="8" t="n">
        <f aca="false">ROUND(J9*Ipoteze!$B$4,2)</f>
        <v>31.29</v>
      </c>
      <c r="L9" s="8" t="n">
        <f aca="false">J9+K9</f>
        <v>180.29</v>
      </c>
      <c r="M9" s="8" t="n">
        <f aca="false">F9*H9</f>
        <v>75</v>
      </c>
      <c r="N9" s="2" t="n">
        <f aca="false">INDEX(Clienti!$E:$E,MATCH(I9,Clienti!$A:$A,0))</f>
        <v>0</v>
      </c>
      <c r="O9" s="19" t="n">
        <f aca="false">B9+N9</f>
        <v>46206</v>
      </c>
      <c r="P9" s="2" t="str">
        <f aca="false">IF(O9&gt;Ipoteze!$B$11,"Neincasat","Incasat")</f>
        <v>Incasat</v>
      </c>
    </row>
    <row r="10" customFormat="false" ht="15" hidden="false" customHeight="false" outlineLevel="0" collapsed="false">
      <c r="A10" s="2" t="s">
        <v>76</v>
      </c>
      <c r="B10" s="19" t="n">
        <v>46206</v>
      </c>
      <c r="C10" s="2" t="s">
        <v>102</v>
      </c>
      <c r="D10" s="2" t="s">
        <v>78</v>
      </c>
      <c r="E10" s="2" t="s">
        <v>79</v>
      </c>
      <c r="F10" s="2" t="n">
        <v>3</v>
      </c>
      <c r="G10" s="8" t="n">
        <v>169</v>
      </c>
      <c r="H10" s="8" t="n">
        <v>85</v>
      </c>
      <c r="I10" s="2" t="s">
        <v>92</v>
      </c>
      <c r="J10" s="8" t="n">
        <f aca="false">F10*G10</f>
        <v>507</v>
      </c>
      <c r="K10" s="8" t="n">
        <f aca="false">ROUND(J10*Ipoteze!$B$4,2)</f>
        <v>106.47</v>
      </c>
      <c r="L10" s="8" t="n">
        <f aca="false">J10+K10</f>
        <v>613.47</v>
      </c>
      <c r="M10" s="8" t="n">
        <f aca="false">F10*H10</f>
        <v>255</v>
      </c>
      <c r="N10" s="2" t="n">
        <f aca="false">INDEX(Clienti!$E:$E,MATCH(I10,Clienti!$A:$A,0))</f>
        <v>14</v>
      </c>
      <c r="O10" s="19" t="n">
        <f aca="false">B10+N10</f>
        <v>46220</v>
      </c>
      <c r="P10" s="2" t="str">
        <f aca="false">IF(O10&gt;Ipoteze!$B$11,"Neincasat","Incasat")</f>
        <v>Incasat</v>
      </c>
    </row>
    <row r="11" customFormat="false" ht="15" hidden="false" customHeight="false" outlineLevel="0" collapsed="false">
      <c r="A11" s="2" t="s">
        <v>76</v>
      </c>
      <c r="B11" s="19" t="n">
        <v>46206</v>
      </c>
      <c r="C11" s="2" t="s">
        <v>103</v>
      </c>
      <c r="D11" s="2" t="s">
        <v>104</v>
      </c>
      <c r="E11" s="2" t="s">
        <v>105</v>
      </c>
      <c r="F11" s="2" t="n">
        <v>2</v>
      </c>
      <c r="G11" s="8" t="n">
        <v>219.5</v>
      </c>
      <c r="H11" s="8" t="n">
        <v>120</v>
      </c>
      <c r="I11" s="2" t="s">
        <v>84</v>
      </c>
      <c r="J11" s="8" t="n">
        <f aca="false">F11*G11</f>
        <v>439</v>
      </c>
      <c r="K11" s="8" t="n">
        <f aca="false">ROUND(J11*Ipoteze!$B$4,2)</f>
        <v>92.19</v>
      </c>
      <c r="L11" s="8" t="n">
        <f aca="false">J11+K11</f>
        <v>531.19</v>
      </c>
      <c r="M11" s="8" t="n">
        <f aca="false">F11*H11</f>
        <v>240</v>
      </c>
      <c r="N11" s="2" t="n">
        <f aca="false">INDEX(Clienti!$E:$E,MATCH(I11,Clienti!$A:$A,0))</f>
        <v>0</v>
      </c>
      <c r="O11" s="19" t="n">
        <f aca="false">B11+N11</f>
        <v>46206</v>
      </c>
      <c r="P11" s="2" t="str">
        <f aca="false">IF(O11&gt;Ipoteze!$B$11,"Neincasat","Incasat")</f>
        <v>Incasat</v>
      </c>
    </row>
    <row r="12" customFormat="false" ht="15" hidden="false" customHeight="false" outlineLevel="0" collapsed="false">
      <c r="A12" s="2" t="s">
        <v>76</v>
      </c>
      <c r="B12" s="19" t="n">
        <v>46207</v>
      </c>
      <c r="C12" s="2" t="s">
        <v>106</v>
      </c>
      <c r="D12" s="2" t="s">
        <v>89</v>
      </c>
      <c r="E12" s="2" t="s">
        <v>87</v>
      </c>
      <c r="F12" s="2" t="n">
        <v>2</v>
      </c>
      <c r="G12" s="8" t="n">
        <v>29.99</v>
      </c>
      <c r="H12" s="8" t="n">
        <v>9</v>
      </c>
      <c r="I12" s="2" t="s">
        <v>92</v>
      </c>
      <c r="J12" s="8" t="n">
        <f aca="false">F12*G12</f>
        <v>59.98</v>
      </c>
      <c r="K12" s="8" t="n">
        <f aca="false">ROUND(J12*Ipoteze!$B$4,2)</f>
        <v>12.6</v>
      </c>
      <c r="L12" s="8" t="n">
        <f aca="false">J12+K12</f>
        <v>72.58</v>
      </c>
      <c r="M12" s="8" t="n">
        <f aca="false">F12*H12</f>
        <v>18</v>
      </c>
      <c r="N12" s="2" t="n">
        <f aca="false">INDEX(Clienti!$E:$E,MATCH(I12,Clienti!$A:$A,0))</f>
        <v>14</v>
      </c>
      <c r="O12" s="19" t="n">
        <f aca="false">B12+N12</f>
        <v>46221</v>
      </c>
      <c r="P12" s="2" t="str">
        <f aca="false">IF(O12&gt;Ipoteze!$B$11,"Neincasat","Incasat")</f>
        <v>Incasat</v>
      </c>
    </row>
    <row r="13" customFormat="false" ht="15" hidden="false" customHeight="false" outlineLevel="0" collapsed="false">
      <c r="A13" s="2" t="s">
        <v>76</v>
      </c>
      <c r="B13" s="19" t="n">
        <v>46207</v>
      </c>
      <c r="C13" s="2" t="s">
        <v>107</v>
      </c>
      <c r="D13" s="2" t="s">
        <v>108</v>
      </c>
      <c r="E13" s="2" t="s">
        <v>83</v>
      </c>
      <c r="F13" s="2" t="n">
        <v>2</v>
      </c>
      <c r="G13" s="8" t="n">
        <v>289</v>
      </c>
      <c r="H13" s="8" t="n">
        <v>160</v>
      </c>
      <c r="I13" s="2" t="s">
        <v>92</v>
      </c>
      <c r="J13" s="8" t="n">
        <f aca="false">F13*G13</f>
        <v>578</v>
      </c>
      <c r="K13" s="8" t="n">
        <f aca="false">ROUND(J13*Ipoteze!$B$4,2)</f>
        <v>121.38</v>
      </c>
      <c r="L13" s="8" t="n">
        <f aca="false">J13+K13</f>
        <v>699.38</v>
      </c>
      <c r="M13" s="8" t="n">
        <f aca="false">F13*H13</f>
        <v>320</v>
      </c>
      <c r="N13" s="2" t="n">
        <f aca="false">INDEX(Clienti!$E:$E,MATCH(I13,Clienti!$A:$A,0))</f>
        <v>14</v>
      </c>
      <c r="O13" s="19" t="n">
        <f aca="false">B13+N13</f>
        <v>46221</v>
      </c>
      <c r="P13" s="2" t="str">
        <f aca="false">IF(O13&gt;Ipoteze!$B$11,"Neincasat","Incasat")</f>
        <v>Incasat</v>
      </c>
    </row>
    <row r="14" customFormat="false" ht="15" hidden="false" customHeight="false" outlineLevel="0" collapsed="false">
      <c r="A14" s="2" t="s">
        <v>76</v>
      </c>
      <c r="B14" s="19" t="n">
        <v>46207</v>
      </c>
      <c r="C14" s="2" t="s">
        <v>109</v>
      </c>
      <c r="D14" s="2" t="s">
        <v>104</v>
      </c>
      <c r="E14" s="2" t="s">
        <v>105</v>
      </c>
      <c r="F14" s="2" t="n">
        <v>1</v>
      </c>
      <c r="G14" s="8" t="n">
        <v>219.5</v>
      </c>
      <c r="H14" s="8" t="n">
        <v>120</v>
      </c>
      <c r="I14" s="2" t="s">
        <v>110</v>
      </c>
      <c r="J14" s="8" t="n">
        <f aca="false">F14*G14</f>
        <v>219.5</v>
      </c>
      <c r="K14" s="8" t="n">
        <f aca="false">ROUND(J14*Ipoteze!$B$4,2)</f>
        <v>46.1</v>
      </c>
      <c r="L14" s="8" t="n">
        <f aca="false">J14+K14</f>
        <v>265.6</v>
      </c>
      <c r="M14" s="8" t="n">
        <f aca="false">F14*H14</f>
        <v>120</v>
      </c>
      <c r="N14" s="2" t="n">
        <f aca="false">INDEX(Clienti!$E:$E,MATCH(I14,Clienti!$A:$A,0))</f>
        <v>0</v>
      </c>
      <c r="O14" s="19" t="n">
        <f aca="false">B14+N14</f>
        <v>46207</v>
      </c>
      <c r="P14" s="2" t="str">
        <f aca="false">IF(O14&gt;Ipoteze!$B$11,"Neincasat","Incasat")</f>
        <v>Incasat</v>
      </c>
    </row>
    <row r="15" customFormat="false" ht="15" hidden="false" customHeight="false" outlineLevel="0" collapsed="false">
      <c r="A15" s="2" t="s">
        <v>76</v>
      </c>
      <c r="B15" s="19" t="n">
        <v>46207</v>
      </c>
      <c r="C15" s="2" t="s">
        <v>111</v>
      </c>
      <c r="D15" s="2" t="s">
        <v>104</v>
      </c>
      <c r="E15" s="2" t="s">
        <v>105</v>
      </c>
      <c r="F15" s="2" t="n">
        <v>3</v>
      </c>
      <c r="G15" s="8" t="n">
        <v>219.5</v>
      </c>
      <c r="H15" s="8" t="n">
        <v>120</v>
      </c>
      <c r="I15" s="2" t="s">
        <v>84</v>
      </c>
      <c r="J15" s="8" t="n">
        <f aca="false">F15*G15</f>
        <v>658.5</v>
      </c>
      <c r="K15" s="8" t="n">
        <f aca="false">ROUND(J15*Ipoteze!$B$4,2)</f>
        <v>138.29</v>
      </c>
      <c r="L15" s="8" t="n">
        <f aca="false">J15+K15</f>
        <v>796.79</v>
      </c>
      <c r="M15" s="8" t="n">
        <f aca="false">F15*H15</f>
        <v>360</v>
      </c>
      <c r="N15" s="2" t="n">
        <f aca="false">INDEX(Clienti!$E:$E,MATCH(I15,Clienti!$A:$A,0))</f>
        <v>0</v>
      </c>
      <c r="O15" s="19" t="n">
        <f aca="false">B15+N15</f>
        <v>46207</v>
      </c>
      <c r="P15" s="2" t="str">
        <f aca="false">IF(O15&gt;Ipoteze!$B$11,"Neincasat","Incasat")</f>
        <v>Incasat</v>
      </c>
    </row>
    <row r="16" customFormat="false" ht="15" hidden="false" customHeight="false" outlineLevel="0" collapsed="false">
      <c r="A16" s="2" t="s">
        <v>76</v>
      </c>
      <c r="B16" s="19" t="n">
        <v>46207</v>
      </c>
      <c r="C16" s="2" t="s">
        <v>112</v>
      </c>
      <c r="D16" s="2" t="s">
        <v>113</v>
      </c>
      <c r="E16" s="2" t="s">
        <v>114</v>
      </c>
      <c r="F16" s="2" t="n">
        <v>1</v>
      </c>
      <c r="G16" s="8" t="n">
        <v>1199</v>
      </c>
      <c r="H16" s="8" t="n">
        <v>780</v>
      </c>
      <c r="I16" s="2" t="s">
        <v>92</v>
      </c>
      <c r="J16" s="8" t="n">
        <f aca="false">F16*G16</f>
        <v>1199</v>
      </c>
      <c r="K16" s="8" t="n">
        <f aca="false">ROUND(J16*Ipoteze!$B$4,2)</f>
        <v>251.79</v>
      </c>
      <c r="L16" s="8" t="n">
        <f aca="false">J16+K16</f>
        <v>1450.79</v>
      </c>
      <c r="M16" s="8" t="n">
        <f aca="false">F16*H16</f>
        <v>780</v>
      </c>
      <c r="N16" s="2" t="n">
        <f aca="false">INDEX(Clienti!$E:$E,MATCH(I16,Clienti!$A:$A,0))</f>
        <v>14</v>
      </c>
      <c r="O16" s="19" t="n">
        <f aca="false">B16+N16</f>
        <v>46221</v>
      </c>
      <c r="P16" s="2" t="str">
        <f aca="false">IF(O16&gt;Ipoteze!$B$11,"Neincasat","Incasat")</f>
        <v>Incasat</v>
      </c>
    </row>
    <row r="17" customFormat="false" ht="15" hidden="false" customHeight="false" outlineLevel="0" collapsed="false">
      <c r="A17" s="2" t="s">
        <v>76</v>
      </c>
      <c r="B17" s="19" t="n">
        <v>46209</v>
      </c>
      <c r="C17" s="2" t="s">
        <v>115</v>
      </c>
      <c r="D17" s="2" t="s">
        <v>94</v>
      </c>
      <c r="E17" s="2" t="s">
        <v>79</v>
      </c>
      <c r="F17" s="2" t="n">
        <v>12</v>
      </c>
      <c r="G17" s="8" t="n">
        <v>49.9</v>
      </c>
      <c r="H17" s="8" t="n">
        <v>19</v>
      </c>
      <c r="I17" s="2" t="s">
        <v>116</v>
      </c>
      <c r="J17" s="8" t="n">
        <f aca="false">F17*G17</f>
        <v>598.8</v>
      </c>
      <c r="K17" s="8" t="n">
        <f aca="false">ROUND(J17*Ipoteze!$B$4,2)</f>
        <v>125.75</v>
      </c>
      <c r="L17" s="8" t="n">
        <f aca="false">J17+K17</f>
        <v>724.55</v>
      </c>
      <c r="M17" s="8" t="n">
        <f aca="false">F17*H17</f>
        <v>228</v>
      </c>
      <c r="N17" s="2" t="n">
        <f aca="false">INDEX(Clienti!$E:$E,MATCH(I17,Clienti!$A:$A,0))</f>
        <v>30</v>
      </c>
      <c r="O17" s="19" t="n">
        <f aca="false">B17+N17</f>
        <v>46239</v>
      </c>
      <c r="P17" s="2" t="str">
        <f aca="false">IF(O17&gt;Ipoteze!$B$11,"Neincasat","Incasat")</f>
        <v>Incasat</v>
      </c>
    </row>
    <row r="18" customFormat="false" ht="15" hidden="false" customHeight="false" outlineLevel="0" collapsed="false">
      <c r="A18" s="2" t="s">
        <v>76</v>
      </c>
      <c r="B18" s="19" t="n">
        <v>46209</v>
      </c>
      <c r="C18" s="2" t="s">
        <v>117</v>
      </c>
      <c r="D18" s="2" t="s">
        <v>82</v>
      </c>
      <c r="E18" s="2" t="s">
        <v>83</v>
      </c>
      <c r="F18" s="2" t="n">
        <v>1</v>
      </c>
      <c r="G18" s="8" t="n">
        <v>79.99</v>
      </c>
      <c r="H18" s="8" t="n">
        <v>45</v>
      </c>
      <c r="I18" s="2" t="s">
        <v>92</v>
      </c>
      <c r="J18" s="8" t="n">
        <f aca="false">F18*G18</f>
        <v>79.99</v>
      </c>
      <c r="K18" s="8" t="n">
        <f aca="false">ROUND(J18*Ipoteze!$B$4,2)</f>
        <v>16.8</v>
      </c>
      <c r="L18" s="8" t="n">
        <f aca="false">J18+K18</f>
        <v>96.79</v>
      </c>
      <c r="M18" s="8" t="n">
        <f aca="false">F18*H18</f>
        <v>45</v>
      </c>
      <c r="N18" s="2" t="n">
        <f aca="false">INDEX(Clienti!$E:$E,MATCH(I18,Clienti!$A:$A,0))</f>
        <v>14</v>
      </c>
      <c r="O18" s="19" t="n">
        <f aca="false">B18+N18</f>
        <v>46223</v>
      </c>
      <c r="P18" s="2" t="str">
        <f aca="false">IF(O18&gt;Ipoteze!$B$11,"Neincasat","Incasat")</f>
        <v>Incasat</v>
      </c>
    </row>
    <row r="19" customFormat="false" ht="15" hidden="false" customHeight="false" outlineLevel="0" collapsed="false">
      <c r="A19" s="2" t="s">
        <v>76</v>
      </c>
      <c r="B19" s="19" t="n">
        <v>46209</v>
      </c>
      <c r="C19" s="2" t="s">
        <v>118</v>
      </c>
      <c r="D19" s="2" t="s">
        <v>78</v>
      </c>
      <c r="E19" s="2" t="s">
        <v>79</v>
      </c>
      <c r="F19" s="2" t="n">
        <v>7</v>
      </c>
      <c r="G19" s="8" t="n">
        <v>169</v>
      </c>
      <c r="H19" s="8" t="n">
        <v>85</v>
      </c>
      <c r="I19" s="2" t="s">
        <v>95</v>
      </c>
      <c r="J19" s="8" t="n">
        <f aca="false">F19*G19</f>
        <v>1183</v>
      </c>
      <c r="K19" s="8" t="n">
        <f aca="false">ROUND(J19*Ipoteze!$B$4,2)</f>
        <v>248.43</v>
      </c>
      <c r="L19" s="8" t="n">
        <f aca="false">J19+K19</f>
        <v>1431.43</v>
      </c>
      <c r="M19" s="8" t="n">
        <f aca="false">F19*H19</f>
        <v>595</v>
      </c>
      <c r="N19" s="2" t="n">
        <f aca="false">INDEX(Clienti!$E:$E,MATCH(I19,Clienti!$A:$A,0))</f>
        <v>30</v>
      </c>
      <c r="O19" s="19" t="n">
        <f aca="false">B19+N19</f>
        <v>46239</v>
      </c>
      <c r="P19" s="2" t="str">
        <f aca="false">IF(O19&gt;Ipoteze!$B$11,"Neincasat","Incasat")</f>
        <v>Incasat</v>
      </c>
    </row>
    <row r="20" customFormat="false" ht="15" hidden="false" customHeight="false" outlineLevel="0" collapsed="false">
      <c r="A20" s="2" t="s">
        <v>76</v>
      </c>
      <c r="B20" s="19" t="n">
        <v>46209</v>
      </c>
      <c r="C20" s="2" t="s">
        <v>119</v>
      </c>
      <c r="D20" s="2" t="s">
        <v>94</v>
      </c>
      <c r="E20" s="2" t="s">
        <v>79</v>
      </c>
      <c r="F20" s="2" t="n">
        <v>1</v>
      </c>
      <c r="G20" s="8" t="n">
        <v>49.9</v>
      </c>
      <c r="H20" s="8" t="n">
        <v>19</v>
      </c>
      <c r="I20" s="2" t="s">
        <v>84</v>
      </c>
      <c r="J20" s="8" t="n">
        <f aca="false">F20*G20</f>
        <v>49.9</v>
      </c>
      <c r="K20" s="8" t="n">
        <f aca="false">ROUND(J20*Ipoteze!$B$4,2)</f>
        <v>10.48</v>
      </c>
      <c r="L20" s="8" t="n">
        <f aca="false">J20+K20</f>
        <v>60.38</v>
      </c>
      <c r="M20" s="8" t="n">
        <f aca="false">F20*H20</f>
        <v>19</v>
      </c>
      <c r="N20" s="2" t="n">
        <f aca="false">INDEX(Clienti!$E:$E,MATCH(I20,Clienti!$A:$A,0))</f>
        <v>0</v>
      </c>
      <c r="O20" s="19" t="n">
        <f aca="false">B20+N20</f>
        <v>46209</v>
      </c>
      <c r="P20" s="2" t="str">
        <f aca="false">IF(O20&gt;Ipoteze!$B$11,"Neincasat","Incasat")</f>
        <v>Incasat</v>
      </c>
    </row>
    <row r="21" customFormat="false" ht="15" hidden="false" customHeight="false" outlineLevel="0" collapsed="false">
      <c r="A21" s="2" t="s">
        <v>76</v>
      </c>
      <c r="B21" s="19" t="n">
        <v>46210</v>
      </c>
      <c r="C21" s="2" t="s">
        <v>120</v>
      </c>
      <c r="D21" s="2" t="s">
        <v>104</v>
      </c>
      <c r="E21" s="2" t="s">
        <v>105</v>
      </c>
      <c r="F21" s="2" t="n">
        <v>1</v>
      </c>
      <c r="G21" s="8" t="n">
        <v>219.5</v>
      </c>
      <c r="H21" s="8" t="n">
        <v>120</v>
      </c>
      <c r="I21" s="2" t="s">
        <v>110</v>
      </c>
      <c r="J21" s="8" t="n">
        <f aca="false">F21*G21</f>
        <v>219.5</v>
      </c>
      <c r="K21" s="8" t="n">
        <f aca="false">ROUND(J21*Ipoteze!$B$4,2)</f>
        <v>46.1</v>
      </c>
      <c r="L21" s="8" t="n">
        <f aca="false">J21+K21</f>
        <v>265.6</v>
      </c>
      <c r="M21" s="8" t="n">
        <f aca="false">F21*H21</f>
        <v>120</v>
      </c>
      <c r="N21" s="2" t="n">
        <f aca="false">INDEX(Clienti!$E:$E,MATCH(I21,Clienti!$A:$A,0))</f>
        <v>0</v>
      </c>
      <c r="O21" s="19" t="n">
        <f aca="false">B21+N21</f>
        <v>46210</v>
      </c>
      <c r="P21" s="2" t="str">
        <f aca="false">IF(O21&gt;Ipoteze!$B$11,"Neincasat","Incasat")</f>
        <v>Incasat</v>
      </c>
    </row>
    <row r="22" customFormat="false" ht="15" hidden="false" customHeight="false" outlineLevel="0" collapsed="false">
      <c r="A22" s="2" t="s">
        <v>76</v>
      </c>
      <c r="B22" s="19" t="n">
        <v>46210</v>
      </c>
      <c r="C22" s="2" t="s">
        <v>121</v>
      </c>
      <c r="D22" s="2" t="s">
        <v>101</v>
      </c>
      <c r="E22" s="2" t="s">
        <v>79</v>
      </c>
      <c r="F22" s="2" t="n">
        <v>1</v>
      </c>
      <c r="G22" s="8" t="n">
        <v>149</v>
      </c>
      <c r="H22" s="8" t="n">
        <v>75</v>
      </c>
      <c r="I22" s="2" t="s">
        <v>84</v>
      </c>
      <c r="J22" s="8" t="n">
        <f aca="false">F22*G22</f>
        <v>149</v>
      </c>
      <c r="K22" s="8" t="n">
        <f aca="false">ROUND(J22*Ipoteze!$B$4,2)</f>
        <v>31.29</v>
      </c>
      <c r="L22" s="8" t="n">
        <f aca="false">J22+K22</f>
        <v>180.29</v>
      </c>
      <c r="M22" s="8" t="n">
        <f aca="false">F22*H22</f>
        <v>75</v>
      </c>
      <c r="N22" s="2" t="n">
        <f aca="false">INDEX(Clienti!$E:$E,MATCH(I22,Clienti!$A:$A,0))</f>
        <v>0</v>
      </c>
      <c r="O22" s="19" t="n">
        <f aca="false">B22+N22</f>
        <v>46210</v>
      </c>
      <c r="P22" s="2" t="str">
        <f aca="false">IF(O22&gt;Ipoteze!$B$11,"Neincasat","Incasat")</f>
        <v>Incasat</v>
      </c>
    </row>
    <row r="23" customFormat="false" ht="15" hidden="false" customHeight="false" outlineLevel="0" collapsed="false">
      <c r="A23" s="2" t="s">
        <v>76</v>
      </c>
      <c r="B23" s="19" t="n">
        <v>46210</v>
      </c>
      <c r="C23" s="2" t="s">
        <v>122</v>
      </c>
      <c r="D23" s="2" t="s">
        <v>89</v>
      </c>
      <c r="E23" s="2" t="s">
        <v>87</v>
      </c>
      <c r="F23" s="2" t="n">
        <v>1</v>
      </c>
      <c r="G23" s="8" t="n">
        <v>29.99</v>
      </c>
      <c r="H23" s="8" t="n">
        <v>9</v>
      </c>
      <c r="I23" s="2" t="s">
        <v>110</v>
      </c>
      <c r="J23" s="8" t="n">
        <f aca="false">F23*G23</f>
        <v>29.99</v>
      </c>
      <c r="K23" s="8" t="n">
        <f aca="false">ROUND(J23*Ipoteze!$B$4,2)</f>
        <v>6.3</v>
      </c>
      <c r="L23" s="8" t="n">
        <f aca="false">J23+K23</f>
        <v>36.29</v>
      </c>
      <c r="M23" s="8" t="n">
        <f aca="false">F23*H23</f>
        <v>9</v>
      </c>
      <c r="N23" s="2" t="n">
        <f aca="false">INDEX(Clienti!$E:$E,MATCH(I23,Clienti!$A:$A,0))</f>
        <v>0</v>
      </c>
      <c r="O23" s="19" t="n">
        <f aca="false">B23+N23</f>
        <v>46210</v>
      </c>
      <c r="P23" s="2" t="str">
        <f aca="false">IF(O23&gt;Ipoteze!$B$11,"Neincasat","Incasat")</f>
        <v>Incasat</v>
      </c>
    </row>
    <row r="24" customFormat="false" ht="15" hidden="false" customHeight="false" outlineLevel="0" collapsed="false">
      <c r="A24" s="2" t="s">
        <v>76</v>
      </c>
      <c r="B24" s="19" t="n">
        <v>46210</v>
      </c>
      <c r="C24" s="2" t="s">
        <v>123</v>
      </c>
      <c r="D24" s="2" t="s">
        <v>124</v>
      </c>
      <c r="E24" s="2" t="s">
        <v>98</v>
      </c>
      <c r="F24" s="2" t="n">
        <v>7</v>
      </c>
      <c r="G24" s="8" t="n">
        <v>39.9</v>
      </c>
      <c r="H24" s="8" t="n">
        <v>18</v>
      </c>
      <c r="I24" s="2" t="s">
        <v>125</v>
      </c>
      <c r="J24" s="8" t="n">
        <f aca="false">F24*G24</f>
        <v>279.3</v>
      </c>
      <c r="K24" s="8" t="n">
        <f aca="false">ROUND(J24*Ipoteze!$B$4,2)</f>
        <v>58.65</v>
      </c>
      <c r="L24" s="8" t="n">
        <f aca="false">J24+K24</f>
        <v>337.95</v>
      </c>
      <c r="M24" s="8" t="n">
        <f aca="false">F24*H24</f>
        <v>126</v>
      </c>
      <c r="N24" s="2" t="n">
        <f aca="false">INDEX(Clienti!$E:$E,MATCH(I24,Clienti!$A:$A,0))</f>
        <v>15</v>
      </c>
      <c r="O24" s="19" t="n">
        <f aca="false">B24+N24</f>
        <v>46225</v>
      </c>
      <c r="P24" s="2" t="str">
        <f aca="false">IF(O24&gt;Ipoteze!$B$11,"Neincasat","Incasat")</f>
        <v>Incasat</v>
      </c>
    </row>
    <row r="25" customFormat="false" ht="15" hidden="false" customHeight="false" outlineLevel="0" collapsed="false">
      <c r="A25" s="2" t="s">
        <v>76</v>
      </c>
      <c r="B25" s="19" t="n">
        <v>46210</v>
      </c>
      <c r="C25" s="2" t="s">
        <v>126</v>
      </c>
      <c r="D25" s="2" t="s">
        <v>82</v>
      </c>
      <c r="E25" s="2" t="s">
        <v>83</v>
      </c>
      <c r="F25" s="2" t="n">
        <v>2</v>
      </c>
      <c r="G25" s="8" t="n">
        <v>79.99</v>
      </c>
      <c r="H25" s="8" t="n">
        <v>45</v>
      </c>
      <c r="I25" s="2" t="s">
        <v>92</v>
      </c>
      <c r="J25" s="8" t="n">
        <f aca="false">F25*G25</f>
        <v>159.98</v>
      </c>
      <c r="K25" s="8" t="n">
        <f aca="false">ROUND(J25*Ipoteze!$B$4,2)</f>
        <v>33.6</v>
      </c>
      <c r="L25" s="8" t="n">
        <f aca="false">J25+K25</f>
        <v>193.58</v>
      </c>
      <c r="M25" s="8" t="n">
        <f aca="false">F25*H25</f>
        <v>90</v>
      </c>
      <c r="N25" s="2" t="n">
        <f aca="false">INDEX(Clienti!$E:$E,MATCH(I25,Clienti!$A:$A,0))</f>
        <v>14</v>
      </c>
      <c r="O25" s="19" t="n">
        <f aca="false">B25+N25</f>
        <v>46224</v>
      </c>
      <c r="P25" s="2" t="str">
        <f aca="false">IF(O25&gt;Ipoteze!$B$11,"Neincasat","Incasat")</f>
        <v>Incasat</v>
      </c>
    </row>
    <row r="26" customFormat="false" ht="15" hidden="false" customHeight="false" outlineLevel="0" collapsed="false">
      <c r="A26" s="2" t="s">
        <v>76</v>
      </c>
      <c r="B26" s="19" t="n">
        <v>46210</v>
      </c>
      <c r="C26" s="2" t="s">
        <v>127</v>
      </c>
      <c r="D26" s="2" t="s">
        <v>108</v>
      </c>
      <c r="E26" s="2" t="s">
        <v>83</v>
      </c>
      <c r="F26" s="2" t="n">
        <v>17</v>
      </c>
      <c r="G26" s="8" t="n">
        <v>289</v>
      </c>
      <c r="H26" s="8" t="n">
        <v>160</v>
      </c>
      <c r="I26" s="2" t="s">
        <v>99</v>
      </c>
      <c r="J26" s="8" t="n">
        <f aca="false">F26*G26</f>
        <v>4913</v>
      </c>
      <c r="K26" s="8" t="n">
        <f aca="false">ROUND(J26*Ipoteze!$B$4,2)</f>
        <v>1031.73</v>
      </c>
      <c r="L26" s="8" t="n">
        <f aca="false">J26+K26</f>
        <v>5944.73</v>
      </c>
      <c r="M26" s="8" t="n">
        <f aca="false">F26*H26</f>
        <v>2720</v>
      </c>
      <c r="N26" s="2" t="n">
        <f aca="false">INDEX(Clienti!$E:$E,MATCH(I26,Clienti!$A:$A,0))</f>
        <v>30</v>
      </c>
      <c r="O26" s="19" t="n">
        <f aca="false">B26+N26</f>
        <v>46240</v>
      </c>
      <c r="P26" s="2" t="str">
        <f aca="false">IF(O26&gt;Ipoteze!$B$11,"Neincasat","Incasat")</f>
        <v>Incasat</v>
      </c>
    </row>
    <row r="27" customFormat="false" ht="15" hidden="false" customHeight="false" outlineLevel="0" collapsed="false">
      <c r="A27" s="2" t="s">
        <v>76</v>
      </c>
      <c r="B27" s="19" t="n">
        <v>46211</v>
      </c>
      <c r="C27" s="2" t="s">
        <v>128</v>
      </c>
      <c r="D27" s="2" t="s">
        <v>89</v>
      </c>
      <c r="E27" s="2" t="s">
        <v>87</v>
      </c>
      <c r="F27" s="2" t="n">
        <v>3</v>
      </c>
      <c r="G27" s="8" t="n">
        <v>29.99</v>
      </c>
      <c r="H27" s="8" t="n">
        <v>9</v>
      </c>
      <c r="I27" s="2" t="s">
        <v>110</v>
      </c>
      <c r="J27" s="8" t="n">
        <f aca="false">F27*G27</f>
        <v>89.97</v>
      </c>
      <c r="K27" s="8" t="n">
        <f aca="false">ROUND(J27*Ipoteze!$B$4,2)</f>
        <v>18.89</v>
      </c>
      <c r="L27" s="8" t="n">
        <f aca="false">J27+K27</f>
        <v>108.86</v>
      </c>
      <c r="M27" s="8" t="n">
        <f aca="false">F27*H27</f>
        <v>27</v>
      </c>
      <c r="N27" s="2" t="n">
        <f aca="false">INDEX(Clienti!$E:$E,MATCH(I27,Clienti!$A:$A,0))</f>
        <v>0</v>
      </c>
      <c r="O27" s="19" t="n">
        <f aca="false">B27+N27</f>
        <v>46211</v>
      </c>
      <c r="P27" s="2" t="str">
        <f aca="false">IF(O27&gt;Ipoteze!$B$11,"Neincasat","Incasat")</f>
        <v>Incasat</v>
      </c>
    </row>
    <row r="28" customFormat="false" ht="15" hidden="false" customHeight="false" outlineLevel="0" collapsed="false">
      <c r="A28" s="2" t="s">
        <v>76</v>
      </c>
      <c r="B28" s="19" t="n">
        <v>46211</v>
      </c>
      <c r="C28" s="2" t="s">
        <v>129</v>
      </c>
      <c r="D28" s="2" t="s">
        <v>130</v>
      </c>
      <c r="E28" s="2" t="s">
        <v>83</v>
      </c>
      <c r="F28" s="2" t="n">
        <v>22</v>
      </c>
      <c r="G28" s="8" t="n">
        <v>349</v>
      </c>
      <c r="H28" s="8" t="n">
        <v>190</v>
      </c>
      <c r="I28" s="2" t="s">
        <v>99</v>
      </c>
      <c r="J28" s="8" t="n">
        <f aca="false">F28*G28</f>
        <v>7678</v>
      </c>
      <c r="K28" s="8" t="n">
        <f aca="false">ROUND(J28*Ipoteze!$B$4,2)</f>
        <v>1612.38</v>
      </c>
      <c r="L28" s="8" t="n">
        <f aca="false">J28+K28</f>
        <v>9290.38</v>
      </c>
      <c r="M28" s="8" t="n">
        <f aca="false">F28*H28</f>
        <v>4180</v>
      </c>
      <c r="N28" s="2" t="n">
        <f aca="false">INDEX(Clienti!$E:$E,MATCH(I28,Clienti!$A:$A,0))</f>
        <v>30</v>
      </c>
      <c r="O28" s="19" t="n">
        <f aca="false">B28+N28</f>
        <v>46241</v>
      </c>
      <c r="P28" s="2" t="str">
        <f aca="false">IF(O28&gt;Ipoteze!$B$11,"Neincasat","Incasat")</f>
        <v>Incasat</v>
      </c>
    </row>
    <row r="29" customFormat="false" ht="15" hidden="false" customHeight="false" outlineLevel="0" collapsed="false">
      <c r="A29" s="2" t="s">
        <v>76</v>
      </c>
      <c r="B29" s="19" t="n">
        <v>46211</v>
      </c>
      <c r="C29" s="2" t="s">
        <v>131</v>
      </c>
      <c r="D29" s="2" t="s">
        <v>82</v>
      </c>
      <c r="E29" s="2" t="s">
        <v>83</v>
      </c>
      <c r="F29" s="2" t="n">
        <v>1</v>
      </c>
      <c r="G29" s="8" t="n">
        <v>79.99</v>
      </c>
      <c r="H29" s="8" t="n">
        <v>45</v>
      </c>
      <c r="I29" s="2" t="s">
        <v>110</v>
      </c>
      <c r="J29" s="8" t="n">
        <f aca="false">F29*G29</f>
        <v>79.99</v>
      </c>
      <c r="K29" s="8" t="n">
        <f aca="false">ROUND(J29*Ipoteze!$B$4,2)</f>
        <v>16.8</v>
      </c>
      <c r="L29" s="8" t="n">
        <f aca="false">J29+K29</f>
        <v>96.79</v>
      </c>
      <c r="M29" s="8" t="n">
        <f aca="false">F29*H29</f>
        <v>45</v>
      </c>
      <c r="N29" s="2" t="n">
        <f aca="false">INDEX(Clienti!$E:$E,MATCH(I29,Clienti!$A:$A,0))</f>
        <v>0</v>
      </c>
      <c r="O29" s="19" t="n">
        <f aca="false">B29+N29</f>
        <v>46211</v>
      </c>
      <c r="P29" s="2" t="str">
        <f aca="false">IF(O29&gt;Ipoteze!$B$11,"Neincasat","Incasat")</f>
        <v>Incasat</v>
      </c>
    </row>
    <row r="30" customFormat="false" ht="15" hidden="false" customHeight="false" outlineLevel="0" collapsed="false">
      <c r="A30" s="2" t="s">
        <v>76</v>
      </c>
      <c r="B30" s="19" t="n">
        <v>46211</v>
      </c>
      <c r="C30" s="2" t="s">
        <v>132</v>
      </c>
      <c r="D30" s="2" t="s">
        <v>86</v>
      </c>
      <c r="E30" s="2" t="s">
        <v>87</v>
      </c>
      <c r="F30" s="2" t="n">
        <v>2</v>
      </c>
      <c r="G30" s="8" t="n">
        <v>54.9</v>
      </c>
      <c r="H30" s="8" t="n">
        <v>22</v>
      </c>
      <c r="I30" s="2" t="s">
        <v>84</v>
      </c>
      <c r="J30" s="8" t="n">
        <f aca="false">F30*G30</f>
        <v>109.8</v>
      </c>
      <c r="K30" s="8" t="n">
        <f aca="false">ROUND(J30*Ipoteze!$B$4,2)</f>
        <v>23.06</v>
      </c>
      <c r="L30" s="8" t="n">
        <f aca="false">J30+K30</f>
        <v>132.86</v>
      </c>
      <c r="M30" s="8" t="n">
        <f aca="false">F30*H30</f>
        <v>44</v>
      </c>
      <c r="N30" s="2" t="n">
        <f aca="false">INDEX(Clienti!$E:$E,MATCH(I30,Clienti!$A:$A,0))</f>
        <v>0</v>
      </c>
      <c r="O30" s="19" t="n">
        <f aca="false">B30+N30</f>
        <v>46211</v>
      </c>
      <c r="P30" s="2" t="str">
        <f aca="false">IF(O30&gt;Ipoteze!$B$11,"Neincasat","Incasat")</f>
        <v>Incasat</v>
      </c>
    </row>
    <row r="31" customFormat="false" ht="15" hidden="false" customHeight="false" outlineLevel="0" collapsed="false">
      <c r="A31" s="2" t="s">
        <v>76</v>
      </c>
      <c r="B31" s="19" t="n">
        <v>46211</v>
      </c>
      <c r="C31" s="2" t="s">
        <v>133</v>
      </c>
      <c r="D31" s="2" t="s">
        <v>134</v>
      </c>
      <c r="E31" s="2" t="s">
        <v>105</v>
      </c>
      <c r="F31" s="2" t="n">
        <v>1</v>
      </c>
      <c r="G31" s="8" t="n">
        <v>129.9</v>
      </c>
      <c r="H31" s="8" t="n">
        <v>70</v>
      </c>
      <c r="I31" s="2" t="s">
        <v>92</v>
      </c>
      <c r="J31" s="8" t="n">
        <f aca="false">F31*G31</f>
        <v>129.9</v>
      </c>
      <c r="K31" s="8" t="n">
        <f aca="false">ROUND(J31*Ipoteze!$B$4,2)</f>
        <v>27.28</v>
      </c>
      <c r="L31" s="8" t="n">
        <f aca="false">J31+K31</f>
        <v>157.18</v>
      </c>
      <c r="M31" s="8" t="n">
        <f aca="false">F31*H31</f>
        <v>70</v>
      </c>
      <c r="N31" s="2" t="n">
        <f aca="false">INDEX(Clienti!$E:$E,MATCH(I31,Clienti!$A:$A,0))</f>
        <v>14</v>
      </c>
      <c r="O31" s="19" t="n">
        <f aca="false">B31+N31</f>
        <v>46225</v>
      </c>
      <c r="P31" s="2" t="str">
        <f aca="false">IF(O31&gt;Ipoteze!$B$11,"Neincasat","Incasat")</f>
        <v>Incasat</v>
      </c>
    </row>
    <row r="32" customFormat="false" ht="15" hidden="false" customHeight="false" outlineLevel="0" collapsed="false">
      <c r="A32" s="2" t="s">
        <v>76</v>
      </c>
      <c r="B32" s="19" t="n">
        <v>46211</v>
      </c>
      <c r="C32" s="2" t="s">
        <v>135</v>
      </c>
      <c r="D32" s="2" t="s">
        <v>101</v>
      </c>
      <c r="E32" s="2" t="s">
        <v>79</v>
      </c>
      <c r="F32" s="2" t="n">
        <v>1</v>
      </c>
      <c r="G32" s="8" t="n">
        <v>149</v>
      </c>
      <c r="H32" s="8" t="n">
        <v>75</v>
      </c>
      <c r="I32" s="2" t="s">
        <v>84</v>
      </c>
      <c r="J32" s="8" t="n">
        <f aca="false">F32*G32</f>
        <v>149</v>
      </c>
      <c r="K32" s="8" t="n">
        <f aca="false">ROUND(J32*Ipoteze!$B$4,2)</f>
        <v>31.29</v>
      </c>
      <c r="L32" s="8" t="n">
        <f aca="false">J32+K32</f>
        <v>180.29</v>
      </c>
      <c r="M32" s="8" t="n">
        <f aca="false">F32*H32</f>
        <v>75</v>
      </c>
      <c r="N32" s="2" t="n">
        <f aca="false">INDEX(Clienti!$E:$E,MATCH(I32,Clienti!$A:$A,0))</f>
        <v>0</v>
      </c>
      <c r="O32" s="19" t="n">
        <f aca="false">B32+N32</f>
        <v>46211</v>
      </c>
      <c r="P32" s="2" t="str">
        <f aca="false">IF(O32&gt;Ipoteze!$B$11,"Neincasat","Incasat")</f>
        <v>Incasat</v>
      </c>
    </row>
    <row r="33" customFormat="false" ht="15" hidden="false" customHeight="false" outlineLevel="0" collapsed="false">
      <c r="A33" s="2" t="s">
        <v>76</v>
      </c>
      <c r="B33" s="19" t="n">
        <v>46212</v>
      </c>
      <c r="C33" s="2" t="s">
        <v>136</v>
      </c>
      <c r="D33" s="2" t="s">
        <v>94</v>
      </c>
      <c r="E33" s="2" t="s">
        <v>79</v>
      </c>
      <c r="F33" s="2" t="n">
        <v>3</v>
      </c>
      <c r="G33" s="8" t="n">
        <v>49.9</v>
      </c>
      <c r="H33" s="8" t="n">
        <v>19</v>
      </c>
      <c r="I33" s="2" t="s">
        <v>84</v>
      </c>
      <c r="J33" s="8" t="n">
        <f aca="false">F33*G33</f>
        <v>149.7</v>
      </c>
      <c r="K33" s="8" t="n">
        <f aca="false">ROUND(J33*Ipoteze!$B$4,2)</f>
        <v>31.44</v>
      </c>
      <c r="L33" s="8" t="n">
        <f aca="false">J33+K33</f>
        <v>181.14</v>
      </c>
      <c r="M33" s="8" t="n">
        <f aca="false">F33*H33</f>
        <v>57</v>
      </c>
      <c r="N33" s="2" t="n">
        <f aca="false">INDEX(Clienti!$E:$E,MATCH(I33,Clienti!$A:$A,0))</f>
        <v>0</v>
      </c>
      <c r="O33" s="19" t="n">
        <f aca="false">B33+N33</f>
        <v>46212</v>
      </c>
      <c r="P33" s="2" t="str">
        <f aca="false">IF(O33&gt;Ipoteze!$B$11,"Neincasat","Incasat")</f>
        <v>Incasat</v>
      </c>
    </row>
    <row r="34" customFormat="false" ht="15" hidden="false" customHeight="false" outlineLevel="0" collapsed="false">
      <c r="A34" s="2" t="s">
        <v>76</v>
      </c>
      <c r="B34" s="19" t="n">
        <v>46212</v>
      </c>
      <c r="C34" s="2" t="s">
        <v>137</v>
      </c>
      <c r="D34" s="2" t="s">
        <v>97</v>
      </c>
      <c r="E34" s="2" t="s">
        <v>98</v>
      </c>
      <c r="F34" s="2" t="n">
        <v>1</v>
      </c>
      <c r="G34" s="8" t="n">
        <v>449</v>
      </c>
      <c r="H34" s="8" t="n">
        <v>290</v>
      </c>
      <c r="I34" s="2" t="s">
        <v>84</v>
      </c>
      <c r="J34" s="8" t="n">
        <f aca="false">F34*G34</f>
        <v>449</v>
      </c>
      <c r="K34" s="8" t="n">
        <f aca="false">ROUND(J34*Ipoteze!$B$4,2)</f>
        <v>94.29</v>
      </c>
      <c r="L34" s="8" t="n">
        <f aca="false">J34+K34</f>
        <v>543.29</v>
      </c>
      <c r="M34" s="8" t="n">
        <f aca="false">F34*H34</f>
        <v>290</v>
      </c>
      <c r="N34" s="2" t="n">
        <f aca="false">INDEX(Clienti!$E:$E,MATCH(I34,Clienti!$A:$A,0))</f>
        <v>0</v>
      </c>
      <c r="O34" s="19" t="n">
        <f aca="false">B34+N34</f>
        <v>46212</v>
      </c>
      <c r="P34" s="2" t="str">
        <f aca="false">IF(O34&gt;Ipoteze!$B$11,"Neincasat","Incasat")</f>
        <v>Incasat</v>
      </c>
    </row>
    <row r="35" customFormat="false" ht="15" hidden="false" customHeight="false" outlineLevel="0" collapsed="false">
      <c r="A35" s="2" t="s">
        <v>76</v>
      </c>
      <c r="B35" s="19" t="n">
        <v>46212</v>
      </c>
      <c r="C35" s="2" t="s">
        <v>138</v>
      </c>
      <c r="D35" s="2" t="s">
        <v>78</v>
      </c>
      <c r="E35" s="2" t="s">
        <v>79</v>
      </c>
      <c r="F35" s="2" t="n">
        <v>1</v>
      </c>
      <c r="G35" s="8" t="n">
        <v>169</v>
      </c>
      <c r="H35" s="8" t="n">
        <v>85</v>
      </c>
      <c r="I35" s="2" t="s">
        <v>110</v>
      </c>
      <c r="J35" s="8" t="n">
        <f aca="false">F35*G35</f>
        <v>169</v>
      </c>
      <c r="K35" s="8" t="n">
        <f aca="false">ROUND(J35*Ipoteze!$B$4,2)</f>
        <v>35.49</v>
      </c>
      <c r="L35" s="8" t="n">
        <f aca="false">J35+K35</f>
        <v>204.49</v>
      </c>
      <c r="M35" s="8" t="n">
        <f aca="false">F35*H35</f>
        <v>85</v>
      </c>
      <c r="N35" s="2" t="n">
        <f aca="false">INDEX(Clienti!$E:$E,MATCH(I35,Clienti!$A:$A,0))</f>
        <v>0</v>
      </c>
      <c r="O35" s="19" t="n">
        <f aca="false">B35+N35</f>
        <v>46212</v>
      </c>
      <c r="P35" s="2" t="str">
        <f aca="false">IF(O35&gt;Ipoteze!$B$11,"Neincasat","Incasat")</f>
        <v>Incasat</v>
      </c>
    </row>
    <row r="36" customFormat="false" ht="15" hidden="false" customHeight="false" outlineLevel="0" collapsed="false">
      <c r="A36" s="2" t="s">
        <v>76</v>
      </c>
      <c r="B36" s="19" t="n">
        <v>46212</v>
      </c>
      <c r="C36" s="2" t="s">
        <v>139</v>
      </c>
      <c r="D36" s="2" t="s">
        <v>134</v>
      </c>
      <c r="E36" s="2" t="s">
        <v>105</v>
      </c>
      <c r="F36" s="2" t="n">
        <v>1</v>
      </c>
      <c r="G36" s="8" t="n">
        <v>129.9</v>
      </c>
      <c r="H36" s="8" t="n">
        <v>70</v>
      </c>
      <c r="I36" s="2" t="s">
        <v>92</v>
      </c>
      <c r="J36" s="8" t="n">
        <f aca="false">F36*G36</f>
        <v>129.9</v>
      </c>
      <c r="K36" s="8" t="n">
        <f aca="false">ROUND(J36*Ipoteze!$B$4,2)</f>
        <v>27.28</v>
      </c>
      <c r="L36" s="8" t="n">
        <f aca="false">J36+K36</f>
        <v>157.18</v>
      </c>
      <c r="M36" s="8" t="n">
        <f aca="false">F36*H36</f>
        <v>70</v>
      </c>
      <c r="N36" s="2" t="n">
        <f aca="false">INDEX(Clienti!$E:$E,MATCH(I36,Clienti!$A:$A,0))</f>
        <v>14</v>
      </c>
      <c r="O36" s="19" t="n">
        <f aca="false">B36+N36</f>
        <v>46226</v>
      </c>
      <c r="P36" s="2" t="str">
        <f aca="false">IF(O36&gt;Ipoteze!$B$11,"Neincasat","Incasat")</f>
        <v>Incasat</v>
      </c>
    </row>
    <row r="37" customFormat="false" ht="15" hidden="false" customHeight="false" outlineLevel="0" collapsed="false">
      <c r="A37" s="2" t="s">
        <v>76</v>
      </c>
      <c r="B37" s="19" t="n">
        <v>46213</v>
      </c>
      <c r="C37" s="2" t="s">
        <v>140</v>
      </c>
      <c r="D37" s="2" t="s">
        <v>108</v>
      </c>
      <c r="E37" s="2" t="s">
        <v>83</v>
      </c>
      <c r="F37" s="2" t="n">
        <v>2</v>
      </c>
      <c r="G37" s="8" t="n">
        <v>289</v>
      </c>
      <c r="H37" s="8" t="n">
        <v>160</v>
      </c>
      <c r="I37" s="2" t="s">
        <v>84</v>
      </c>
      <c r="J37" s="8" t="n">
        <f aca="false">F37*G37</f>
        <v>578</v>
      </c>
      <c r="K37" s="8" t="n">
        <f aca="false">ROUND(J37*Ipoteze!$B$4,2)</f>
        <v>121.38</v>
      </c>
      <c r="L37" s="8" t="n">
        <f aca="false">J37+K37</f>
        <v>699.38</v>
      </c>
      <c r="M37" s="8" t="n">
        <f aca="false">F37*H37</f>
        <v>320</v>
      </c>
      <c r="N37" s="2" t="n">
        <f aca="false">INDEX(Clienti!$E:$E,MATCH(I37,Clienti!$A:$A,0))</f>
        <v>0</v>
      </c>
      <c r="O37" s="19" t="n">
        <f aca="false">B37+N37</f>
        <v>46213</v>
      </c>
      <c r="P37" s="2" t="str">
        <f aca="false">IF(O37&gt;Ipoteze!$B$11,"Neincasat","Incasat")</f>
        <v>Incasat</v>
      </c>
    </row>
    <row r="38" customFormat="false" ht="15" hidden="false" customHeight="false" outlineLevel="0" collapsed="false">
      <c r="A38" s="2" t="s">
        <v>76</v>
      </c>
      <c r="B38" s="19" t="n">
        <v>46213</v>
      </c>
      <c r="C38" s="2" t="s">
        <v>141</v>
      </c>
      <c r="D38" s="2" t="s">
        <v>101</v>
      </c>
      <c r="E38" s="2" t="s">
        <v>79</v>
      </c>
      <c r="F38" s="2" t="n">
        <v>1</v>
      </c>
      <c r="G38" s="8" t="n">
        <v>149</v>
      </c>
      <c r="H38" s="8" t="n">
        <v>75</v>
      </c>
      <c r="I38" s="2" t="s">
        <v>84</v>
      </c>
      <c r="J38" s="8" t="n">
        <f aca="false">F38*G38</f>
        <v>149</v>
      </c>
      <c r="K38" s="8" t="n">
        <f aca="false">ROUND(J38*Ipoteze!$B$4,2)</f>
        <v>31.29</v>
      </c>
      <c r="L38" s="8" t="n">
        <f aca="false">J38+K38</f>
        <v>180.29</v>
      </c>
      <c r="M38" s="8" t="n">
        <f aca="false">F38*H38</f>
        <v>75</v>
      </c>
      <c r="N38" s="2" t="n">
        <f aca="false">INDEX(Clienti!$E:$E,MATCH(I38,Clienti!$A:$A,0))</f>
        <v>0</v>
      </c>
      <c r="O38" s="19" t="n">
        <f aca="false">B38+N38</f>
        <v>46213</v>
      </c>
      <c r="P38" s="2" t="str">
        <f aca="false">IF(O38&gt;Ipoteze!$B$11,"Neincasat","Incasat")</f>
        <v>Incasat</v>
      </c>
    </row>
    <row r="39" customFormat="false" ht="15" hidden="false" customHeight="false" outlineLevel="0" collapsed="false">
      <c r="A39" s="2" t="s">
        <v>76</v>
      </c>
      <c r="B39" s="19" t="n">
        <v>46213</v>
      </c>
      <c r="C39" s="2" t="s">
        <v>142</v>
      </c>
      <c r="D39" s="2" t="s">
        <v>89</v>
      </c>
      <c r="E39" s="2" t="s">
        <v>87</v>
      </c>
      <c r="F39" s="2" t="n">
        <v>3</v>
      </c>
      <c r="G39" s="8" t="n">
        <v>29.99</v>
      </c>
      <c r="H39" s="8" t="n">
        <v>9</v>
      </c>
      <c r="I39" s="2" t="s">
        <v>92</v>
      </c>
      <c r="J39" s="8" t="n">
        <f aca="false">F39*G39</f>
        <v>89.97</v>
      </c>
      <c r="K39" s="8" t="n">
        <f aca="false">ROUND(J39*Ipoteze!$B$4,2)</f>
        <v>18.89</v>
      </c>
      <c r="L39" s="8" t="n">
        <f aca="false">J39+K39</f>
        <v>108.86</v>
      </c>
      <c r="M39" s="8" t="n">
        <f aca="false">F39*H39</f>
        <v>27</v>
      </c>
      <c r="N39" s="2" t="n">
        <f aca="false">INDEX(Clienti!$E:$E,MATCH(I39,Clienti!$A:$A,0))</f>
        <v>14</v>
      </c>
      <c r="O39" s="19" t="n">
        <f aca="false">B39+N39</f>
        <v>46227</v>
      </c>
      <c r="P39" s="2" t="str">
        <f aca="false">IF(O39&gt;Ipoteze!$B$11,"Neincasat","Incasat")</f>
        <v>Incasat</v>
      </c>
    </row>
    <row r="40" customFormat="false" ht="15" hidden="false" customHeight="false" outlineLevel="0" collapsed="false">
      <c r="A40" s="2" t="s">
        <v>76</v>
      </c>
      <c r="B40" s="19" t="n">
        <v>46213</v>
      </c>
      <c r="C40" s="2" t="s">
        <v>143</v>
      </c>
      <c r="D40" s="2" t="s">
        <v>82</v>
      </c>
      <c r="E40" s="2" t="s">
        <v>83</v>
      </c>
      <c r="F40" s="2" t="n">
        <v>1</v>
      </c>
      <c r="G40" s="8" t="n">
        <v>79.99</v>
      </c>
      <c r="H40" s="8" t="n">
        <v>45</v>
      </c>
      <c r="I40" s="2" t="s">
        <v>84</v>
      </c>
      <c r="J40" s="8" t="n">
        <f aca="false">F40*G40</f>
        <v>79.99</v>
      </c>
      <c r="K40" s="8" t="n">
        <f aca="false">ROUND(J40*Ipoteze!$B$4,2)</f>
        <v>16.8</v>
      </c>
      <c r="L40" s="8" t="n">
        <f aca="false">J40+K40</f>
        <v>96.79</v>
      </c>
      <c r="M40" s="8" t="n">
        <f aca="false">F40*H40</f>
        <v>45</v>
      </c>
      <c r="N40" s="2" t="n">
        <f aca="false">INDEX(Clienti!$E:$E,MATCH(I40,Clienti!$A:$A,0))</f>
        <v>0</v>
      </c>
      <c r="O40" s="19" t="n">
        <f aca="false">B40+N40</f>
        <v>46213</v>
      </c>
      <c r="P40" s="2" t="str">
        <f aca="false">IF(O40&gt;Ipoteze!$B$11,"Neincasat","Incasat")</f>
        <v>Incasat</v>
      </c>
    </row>
    <row r="41" customFormat="false" ht="15" hidden="false" customHeight="false" outlineLevel="0" collapsed="false">
      <c r="A41" s="2" t="s">
        <v>76</v>
      </c>
      <c r="B41" s="19" t="n">
        <v>46213</v>
      </c>
      <c r="C41" s="2" t="s">
        <v>144</v>
      </c>
      <c r="D41" s="2" t="s">
        <v>124</v>
      </c>
      <c r="E41" s="2" t="s">
        <v>98</v>
      </c>
      <c r="F41" s="2" t="n">
        <v>2</v>
      </c>
      <c r="G41" s="8" t="n">
        <v>39.9</v>
      </c>
      <c r="H41" s="8" t="n">
        <v>18</v>
      </c>
      <c r="I41" s="2" t="s">
        <v>110</v>
      </c>
      <c r="J41" s="8" t="n">
        <f aca="false">F41*G41</f>
        <v>79.8</v>
      </c>
      <c r="K41" s="8" t="n">
        <f aca="false">ROUND(J41*Ipoteze!$B$4,2)</f>
        <v>16.76</v>
      </c>
      <c r="L41" s="8" t="n">
        <f aca="false">J41+K41</f>
        <v>96.56</v>
      </c>
      <c r="M41" s="8" t="n">
        <f aca="false">F41*H41</f>
        <v>36</v>
      </c>
      <c r="N41" s="2" t="n">
        <f aca="false">INDEX(Clienti!$E:$E,MATCH(I41,Clienti!$A:$A,0))</f>
        <v>0</v>
      </c>
      <c r="O41" s="19" t="n">
        <f aca="false">B41+N41</f>
        <v>46213</v>
      </c>
      <c r="P41" s="2" t="str">
        <f aca="false">IF(O41&gt;Ipoteze!$B$11,"Neincasat","Incasat")</f>
        <v>Incasat</v>
      </c>
    </row>
    <row r="42" customFormat="false" ht="15" hidden="false" customHeight="false" outlineLevel="0" collapsed="false">
      <c r="A42" s="2" t="s">
        <v>76</v>
      </c>
      <c r="B42" s="19" t="n">
        <v>46213</v>
      </c>
      <c r="C42" s="2" t="s">
        <v>145</v>
      </c>
      <c r="D42" s="2" t="s">
        <v>86</v>
      </c>
      <c r="E42" s="2" t="s">
        <v>87</v>
      </c>
      <c r="F42" s="2" t="n">
        <v>15</v>
      </c>
      <c r="G42" s="8" t="n">
        <v>54.9</v>
      </c>
      <c r="H42" s="8" t="n">
        <v>22</v>
      </c>
      <c r="I42" s="2" t="s">
        <v>99</v>
      </c>
      <c r="J42" s="8" t="n">
        <f aca="false">F42*G42</f>
        <v>823.5</v>
      </c>
      <c r="K42" s="8" t="n">
        <f aca="false">ROUND(J42*Ipoteze!$B$4,2)</f>
        <v>172.94</v>
      </c>
      <c r="L42" s="8" t="n">
        <f aca="false">J42+K42</f>
        <v>996.44</v>
      </c>
      <c r="M42" s="8" t="n">
        <f aca="false">F42*H42</f>
        <v>330</v>
      </c>
      <c r="N42" s="2" t="n">
        <f aca="false">INDEX(Clienti!$E:$E,MATCH(I42,Clienti!$A:$A,0))</f>
        <v>30</v>
      </c>
      <c r="O42" s="19" t="n">
        <f aca="false">B42+N42</f>
        <v>46243</v>
      </c>
      <c r="P42" s="2" t="str">
        <f aca="false">IF(O42&gt;Ipoteze!$B$11,"Neincasat","Incasat")</f>
        <v>Incasat</v>
      </c>
    </row>
    <row r="43" customFormat="false" ht="15" hidden="false" customHeight="false" outlineLevel="0" collapsed="false">
      <c r="A43" s="2" t="s">
        <v>76</v>
      </c>
      <c r="B43" s="19" t="n">
        <v>46214</v>
      </c>
      <c r="C43" s="2" t="s">
        <v>146</v>
      </c>
      <c r="D43" s="2" t="s">
        <v>89</v>
      </c>
      <c r="E43" s="2" t="s">
        <v>87</v>
      </c>
      <c r="F43" s="2" t="n">
        <v>5</v>
      </c>
      <c r="G43" s="8" t="n">
        <v>29.99</v>
      </c>
      <c r="H43" s="8" t="n">
        <v>9</v>
      </c>
      <c r="I43" s="2" t="s">
        <v>80</v>
      </c>
      <c r="J43" s="8" t="n">
        <f aca="false">F43*G43</f>
        <v>149.95</v>
      </c>
      <c r="K43" s="8" t="n">
        <f aca="false">ROUND(J43*Ipoteze!$B$4,2)</f>
        <v>31.49</v>
      </c>
      <c r="L43" s="8" t="n">
        <f aca="false">J43+K43</f>
        <v>181.44</v>
      </c>
      <c r="M43" s="8" t="n">
        <f aca="false">F43*H43</f>
        <v>45</v>
      </c>
      <c r="N43" s="2" t="n">
        <f aca="false">INDEX(Clienti!$E:$E,MATCH(I43,Clienti!$A:$A,0))</f>
        <v>15</v>
      </c>
      <c r="O43" s="19" t="n">
        <f aca="false">B43+N43</f>
        <v>46229</v>
      </c>
      <c r="P43" s="2" t="str">
        <f aca="false">IF(O43&gt;Ipoteze!$B$11,"Neincasat","Incasat")</f>
        <v>Incasat</v>
      </c>
    </row>
    <row r="44" customFormat="false" ht="15" hidden="false" customHeight="false" outlineLevel="0" collapsed="false">
      <c r="A44" s="2" t="s">
        <v>76</v>
      </c>
      <c r="B44" s="19" t="n">
        <v>46214</v>
      </c>
      <c r="C44" s="2" t="s">
        <v>147</v>
      </c>
      <c r="D44" s="2" t="s">
        <v>101</v>
      </c>
      <c r="E44" s="2" t="s">
        <v>79</v>
      </c>
      <c r="F44" s="2" t="n">
        <v>1</v>
      </c>
      <c r="G44" s="8" t="n">
        <v>149</v>
      </c>
      <c r="H44" s="8" t="n">
        <v>75</v>
      </c>
      <c r="I44" s="2" t="s">
        <v>92</v>
      </c>
      <c r="J44" s="8" t="n">
        <f aca="false">F44*G44</f>
        <v>149</v>
      </c>
      <c r="K44" s="8" t="n">
        <f aca="false">ROUND(J44*Ipoteze!$B$4,2)</f>
        <v>31.29</v>
      </c>
      <c r="L44" s="8" t="n">
        <f aca="false">J44+K44</f>
        <v>180.29</v>
      </c>
      <c r="M44" s="8" t="n">
        <f aca="false">F44*H44</f>
        <v>75</v>
      </c>
      <c r="N44" s="2" t="n">
        <f aca="false">INDEX(Clienti!$E:$E,MATCH(I44,Clienti!$A:$A,0))</f>
        <v>14</v>
      </c>
      <c r="O44" s="19" t="n">
        <f aca="false">B44+N44</f>
        <v>46228</v>
      </c>
      <c r="P44" s="2" t="str">
        <f aca="false">IF(O44&gt;Ipoteze!$B$11,"Neincasat","Incasat")</f>
        <v>Incasat</v>
      </c>
    </row>
    <row r="45" customFormat="false" ht="15" hidden="false" customHeight="false" outlineLevel="0" collapsed="false">
      <c r="A45" s="2" t="s">
        <v>76</v>
      </c>
      <c r="B45" s="19" t="n">
        <v>46214</v>
      </c>
      <c r="C45" s="2" t="s">
        <v>148</v>
      </c>
      <c r="D45" s="2" t="s">
        <v>78</v>
      </c>
      <c r="E45" s="2" t="s">
        <v>79</v>
      </c>
      <c r="F45" s="2" t="n">
        <v>12</v>
      </c>
      <c r="G45" s="8" t="n">
        <v>169</v>
      </c>
      <c r="H45" s="8" t="n">
        <v>85</v>
      </c>
      <c r="I45" s="2" t="s">
        <v>116</v>
      </c>
      <c r="J45" s="8" t="n">
        <f aca="false">F45*G45</f>
        <v>2028</v>
      </c>
      <c r="K45" s="8" t="n">
        <f aca="false">ROUND(J45*Ipoteze!$B$4,2)</f>
        <v>425.88</v>
      </c>
      <c r="L45" s="8" t="n">
        <f aca="false">J45+K45</f>
        <v>2453.88</v>
      </c>
      <c r="M45" s="8" t="n">
        <f aca="false">F45*H45</f>
        <v>1020</v>
      </c>
      <c r="N45" s="2" t="n">
        <f aca="false">INDEX(Clienti!$E:$E,MATCH(I45,Clienti!$A:$A,0))</f>
        <v>30</v>
      </c>
      <c r="O45" s="19" t="n">
        <f aca="false">B45+N45</f>
        <v>46244</v>
      </c>
      <c r="P45" s="2" t="str">
        <f aca="false">IF(O45&gt;Ipoteze!$B$11,"Neincasat","Incasat")</f>
        <v>Incasat</v>
      </c>
    </row>
    <row r="46" customFormat="false" ht="15" hidden="false" customHeight="false" outlineLevel="0" collapsed="false">
      <c r="A46" s="2" t="s">
        <v>76</v>
      </c>
      <c r="B46" s="19" t="n">
        <v>46216</v>
      </c>
      <c r="C46" s="2" t="s">
        <v>149</v>
      </c>
      <c r="D46" s="2" t="s">
        <v>113</v>
      </c>
      <c r="E46" s="2" t="s">
        <v>114</v>
      </c>
      <c r="F46" s="2" t="n">
        <v>3</v>
      </c>
      <c r="G46" s="8" t="n">
        <v>1199</v>
      </c>
      <c r="H46" s="8" t="n">
        <v>780</v>
      </c>
      <c r="I46" s="2" t="s">
        <v>80</v>
      </c>
      <c r="J46" s="8" t="n">
        <f aca="false">F46*G46</f>
        <v>3597</v>
      </c>
      <c r="K46" s="8" t="n">
        <f aca="false">ROUND(J46*Ipoteze!$B$4,2)</f>
        <v>755.37</v>
      </c>
      <c r="L46" s="8" t="n">
        <f aca="false">J46+K46</f>
        <v>4352.37</v>
      </c>
      <c r="M46" s="8" t="n">
        <f aca="false">F46*H46</f>
        <v>2340</v>
      </c>
      <c r="N46" s="2" t="n">
        <f aca="false">INDEX(Clienti!$E:$E,MATCH(I46,Clienti!$A:$A,0))</f>
        <v>15</v>
      </c>
      <c r="O46" s="19" t="n">
        <f aca="false">B46+N46</f>
        <v>46231</v>
      </c>
      <c r="P46" s="2" t="str">
        <f aca="false">IF(O46&gt;Ipoteze!$B$11,"Neincasat","Incasat")</f>
        <v>Incasat</v>
      </c>
    </row>
    <row r="47" customFormat="false" ht="15" hidden="false" customHeight="false" outlineLevel="0" collapsed="false">
      <c r="A47" s="2" t="s">
        <v>76</v>
      </c>
      <c r="B47" s="19" t="n">
        <v>46216</v>
      </c>
      <c r="C47" s="2" t="s">
        <v>150</v>
      </c>
      <c r="D47" s="2" t="s">
        <v>108</v>
      </c>
      <c r="E47" s="2" t="s">
        <v>83</v>
      </c>
      <c r="F47" s="2" t="n">
        <v>1</v>
      </c>
      <c r="G47" s="8" t="n">
        <v>289</v>
      </c>
      <c r="H47" s="8" t="n">
        <v>160</v>
      </c>
      <c r="I47" s="2" t="s">
        <v>92</v>
      </c>
      <c r="J47" s="8" t="n">
        <f aca="false">F47*G47</f>
        <v>289</v>
      </c>
      <c r="K47" s="8" t="n">
        <f aca="false">ROUND(J47*Ipoteze!$B$4,2)</f>
        <v>60.69</v>
      </c>
      <c r="L47" s="8" t="n">
        <f aca="false">J47+K47</f>
        <v>349.69</v>
      </c>
      <c r="M47" s="8" t="n">
        <f aca="false">F47*H47</f>
        <v>160</v>
      </c>
      <c r="N47" s="2" t="n">
        <f aca="false">INDEX(Clienti!$E:$E,MATCH(I47,Clienti!$A:$A,0))</f>
        <v>14</v>
      </c>
      <c r="O47" s="19" t="n">
        <f aca="false">B47+N47</f>
        <v>46230</v>
      </c>
      <c r="P47" s="2" t="str">
        <f aca="false">IF(O47&gt;Ipoteze!$B$11,"Neincasat","Incasat")</f>
        <v>Incasat</v>
      </c>
    </row>
    <row r="48" customFormat="false" ht="15" hidden="false" customHeight="false" outlineLevel="0" collapsed="false">
      <c r="A48" s="2" t="s">
        <v>76</v>
      </c>
      <c r="B48" s="19" t="n">
        <v>46216</v>
      </c>
      <c r="C48" s="2" t="s">
        <v>151</v>
      </c>
      <c r="D48" s="2" t="s">
        <v>113</v>
      </c>
      <c r="E48" s="2" t="s">
        <v>114</v>
      </c>
      <c r="F48" s="2" t="n">
        <v>2</v>
      </c>
      <c r="G48" s="8" t="n">
        <v>1199</v>
      </c>
      <c r="H48" s="8" t="n">
        <v>780</v>
      </c>
      <c r="I48" s="2" t="s">
        <v>125</v>
      </c>
      <c r="J48" s="8" t="n">
        <f aca="false">F48*G48</f>
        <v>2398</v>
      </c>
      <c r="K48" s="8" t="n">
        <f aca="false">ROUND(J48*Ipoteze!$B$4,2)</f>
        <v>503.58</v>
      </c>
      <c r="L48" s="8" t="n">
        <f aca="false">J48+K48</f>
        <v>2901.58</v>
      </c>
      <c r="M48" s="8" t="n">
        <f aca="false">F48*H48</f>
        <v>1560</v>
      </c>
      <c r="N48" s="2" t="n">
        <f aca="false">INDEX(Clienti!$E:$E,MATCH(I48,Clienti!$A:$A,0))</f>
        <v>15</v>
      </c>
      <c r="O48" s="19" t="n">
        <f aca="false">B48+N48</f>
        <v>46231</v>
      </c>
      <c r="P48" s="2" t="str">
        <f aca="false">IF(O48&gt;Ipoteze!$B$11,"Neincasat","Incasat")</f>
        <v>Incasat</v>
      </c>
    </row>
    <row r="49" customFormat="false" ht="15" hidden="false" customHeight="false" outlineLevel="0" collapsed="false">
      <c r="A49" s="2" t="s">
        <v>76</v>
      </c>
      <c r="B49" s="19" t="n">
        <v>46216</v>
      </c>
      <c r="C49" s="2" t="s">
        <v>152</v>
      </c>
      <c r="D49" s="2" t="s">
        <v>113</v>
      </c>
      <c r="E49" s="2" t="s">
        <v>114</v>
      </c>
      <c r="F49" s="2" t="n">
        <v>1</v>
      </c>
      <c r="G49" s="8" t="n">
        <v>1199</v>
      </c>
      <c r="H49" s="8" t="n">
        <v>780</v>
      </c>
      <c r="I49" s="2" t="s">
        <v>92</v>
      </c>
      <c r="J49" s="8" t="n">
        <f aca="false">F49*G49</f>
        <v>1199</v>
      </c>
      <c r="K49" s="8" t="n">
        <f aca="false">ROUND(J49*Ipoteze!$B$4,2)</f>
        <v>251.79</v>
      </c>
      <c r="L49" s="8" t="n">
        <f aca="false">J49+K49</f>
        <v>1450.79</v>
      </c>
      <c r="M49" s="8" t="n">
        <f aca="false">F49*H49</f>
        <v>780</v>
      </c>
      <c r="N49" s="2" t="n">
        <f aca="false">INDEX(Clienti!$E:$E,MATCH(I49,Clienti!$A:$A,0))</f>
        <v>14</v>
      </c>
      <c r="O49" s="19" t="n">
        <f aca="false">B49+N49</f>
        <v>46230</v>
      </c>
      <c r="P49" s="2" t="str">
        <f aca="false">IF(O49&gt;Ipoteze!$B$11,"Neincasat","Incasat")</f>
        <v>Incasat</v>
      </c>
    </row>
    <row r="50" customFormat="false" ht="15" hidden="false" customHeight="false" outlineLevel="0" collapsed="false">
      <c r="A50" s="2" t="s">
        <v>76</v>
      </c>
      <c r="B50" s="19" t="n">
        <v>46216</v>
      </c>
      <c r="C50" s="2" t="s">
        <v>153</v>
      </c>
      <c r="D50" s="2" t="s">
        <v>82</v>
      </c>
      <c r="E50" s="2" t="s">
        <v>83</v>
      </c>
      <c r="F50" s="2" t="n">
        <v>1</v>
      </c>
      <c r="G50" s="8" t="n">
        <v>79.99</v>
      </c>
      <c r="H50" s="8" t="n">
        <v>45</v>
      </c>
      <c r="I50" s="2" t="s">
        <v>92</v>
      </c>
      <c r="J50" s="8" t="n">
        <f aca="false">F50*G50</f>
        <v>79.99</v>
      </c>
      <c r="K50" s="8" t="n">
        <f aca="false">ROUND(J50*Ipoteze!$B$4,2)</f>
        <v>16.8</v>
      </c>
      <c r="L50" s="8" t="n">
        <f aca="false">J50+K50</f>
        <v>96.79</v>
      </c>
      <c r="M50" s="8" t="n">
        <f aca="false">F50*H50</f>
        <v>45</v>
      </c>
      <c r="N50" s="2" t="n">
        <f aca="false">INDEX(Clienti!$E:$E,MATCH(I50,Clienti!$A:$A,0))</f>
        <v>14</v>
      </c>
      <c r="O50" s="19" t="n">
        <f aca="false">B50+N50</f>
        <v>46230</v>
      </c>
      <c r="P50" s="2" t="str">
        <f aca="false">IF(O50&gt;Ipoteze!$B$11,"Neincasat","Incasat")</f>
        <v>Incasat</v>
      </c>
    </row>
    <row r="51" customFormat="false" ht="15" hidden="false" customHeight="false" outlineLevel="0" collapsed="false">
      <c r="A51" s="2" t="s">
        <v>76</v>
      </c>
      <c r="B51" s="19" t="n">
        <v>46217</v>
      </c>
      <c r="C51" s="2" t="s">
        <v>154</v>
      </c>
      <c r="D51" s="2" t="s">
        <v>89</v>
      </c>
      <c r="E51" s="2" t="s">
        <v>87</v>
      </c>
      <c r="F51" s="2" t="n">
        <v>13</v>
      </c>
      <c r="G51" s="8" t="n">
        <v>29.99</v>
      </c>
      <c r="H51" s="8" t="n">
        <v>9</v>
      </c>
      <c r="I51" s="2" t="s">
        <v>80</v>
      </c>
      <c r="J51" s="8" t="n">
        <f aca="false">F51*G51</f>
        <v>389.87</v>
      </c>
      <c r="K51" s="8" t="n">
        <f aca="false">ROUND(J51*Ipoteze!$B$4,2)</f>
        <v>81.87</v>
      </c>
      <c r="L51" s="8" t="n">
        <f aca="false">J51+K51</f>
        <v>471.74</v>
      </c>
      <c r="M51" s="8" t="n">
        <f aca="false">F51*H51</f>
        <v>117</v>
      </c>
      <c r="N51" s="2" t="n">
        <f aca="false">INDEX(Clienti!$E:$E,MATCH(I51,Clienti!$A:$A,0))</f>
        <v>15</v>
      </c>
      <c r="O51" s="19" t="n">
        <f aca="false">B51+N51</f>
        <v>46232</v>
      </c>
      <c r="P51" s="2" t="str">
        <f aca="false">IF(O51&gt;Ipoteze!$B$11,"Neincasat","Incasat")</f>
        <v>Incasat</v>
      </c>
    </row>
    <row r="52" customFormat="false" ht="15" hidden="false" customHeight="false" outlineLevel="0" collapsed="false">
      <c r="A52" s="2" t="s">
        <v>76</v>
      </c>
      <c r="B52" s="19" t="n">
        <v>46217</v>
      </c>
      <c r="C52" s="2" t="s">
        <v>155</v>
      </c>
      <c r="D52" s="2" t="s">
        <v>86</v>
      </c>
      <c r="E52" s="2" t="s">
        <v>87</v>
      </c>
      <c r="F52" s="2" t="n">
        <v>1</v>
      </c>
      <c r="G52" s="8" t="n">
        <v>54.9</v>
      </c>
      <c r="H52" s="8" t="n">
        <v>22</v>
      </c>
      <c r="I52" s="2" t="s">
        <v>92</v>
      </c>
      <c r="J52" s="8" t="n">
        <f aca="false">F52*G52</f>
        <v>54.9</v>
      </c>
      <c r="K52" s="8" t="n">
        <f aca="false">ROUND(J52*Ipoteze!$B$4,2)</f>
        <v>11.53</v>
      </c>
      <c r="L52" s="8" t="n">
        <f aca="false">J52+K52</f>
        <v>66.43</v>
      </c>
      <c r="M52" s="8" t="n">
        <f aca="false">F52*H52</f>
        <v>22</v>
      </c>
      <c r="N52" s="2" t="n">
        <f aca="false">INDEX(Clienti!$E:$E,MATCH(I52,Clienti!$A:$A,0))</f>
        <v>14</v>
      </c>
      <c r="O52" s="19" t="n">
        <f aca="false">B52+N52</f>
        <v>46231</v>
      </c>
      <c r="P52" s="2" t="str">
        <f aca="false">IF(O52&gt;Ipoteze!$B$11,"Neincasat","Incasat")</f>
        <v>Incasat</v>
      </c>
    </row>
    <row r="53" customFormat="false" ht="15" hidden="false" customHeight="false" outlineLevel="0" collapsed="false">
      <c r="A53" s="2" t="s">
        <v>76</v>
      </c>
      <c r="B53" s="19" t="n">
        <v>46217</v>
      </c>
      <c r="C53" s="2" t="s">
        <v>156</v>
      </c>
      <c r="D53" s="2" t="s">
        <v>130</v>
      </c>
      <c r="E53" s="2" t="s">
        <v>83</v>
      </c>
      <c r="F53" s="2" t="n">
        <v>2</v>
      </c>
      <c r="G53" s="8" t="n">
        <v>349</v>
      </c>
      <c r="H53" s="8" t="n">
        <v>190</v>
      </c>
      <c r="I53" s="2" t="s">
        <v>92</v>
      </c>
      <c r="J53" s="8" t="n">
        <f aca="false">F53*G53</f>
        <v>698</v>
      </c>
      <c r="K53" s="8" t="n">
        <f aca="false">ROUND(J53*Ipoteze!$B$4,2)</f>
        <v>146.58</v>
      </c>
      <c r="L53" s="8" t="n">
        <f aca="false">J53+K53</f>
        <v>844.58</v>
      </c>
      <c r="M53" s="8" t="n">
        <f aca="false">F53*H53</f>
        <v>380</v>
      </c>
      <c r="N53" s="2" t="n">
        <f aca="false">INDEX(Clienti!$E:$E,MATCH(I53,Clienti!$A:$A,0))</f>
        <v>14</v>
      </c>
      <c r="O53" s="19" t="n">
        <f aca="false">B53+N53</f>
        <v>46231</v>
      </c>
      <c r="P53" s="2" t="str">
        <f aca="false">IF(O53&gt;Ipoteze!$B$11,"Neincasat","Incasat")</f>
        <v>Incasat</v>
      </c>
    </row>
    <row r="54" customFormat="false" ht="15" hidden="false" customHeight="false" outlineLevel="0" collapsed="false">
      <c r="A54" s="2" t="s">
        <v>76</v>
      </c>
      <c r="B54" s="19" t="n">
        <v>46217</v>
      </c>
      <c r="C54" s="2" t="s">
        <v>157</v>
      </c>
      <c r="D54" s="2" t="s">
        <v>89</v>
      </c>
      <c r="E54" s="2" t="s">
        <v>87</v>
      </c>
      <c r="F54" s="2" t="n">
        <v>12</v>
      </c>
      <c r="G54" s="8" t="n">
        <v>29.99</v>
      </c>
      <c r="H54" s="8" t="n">
        <v>9</v>
      </c>
      <c r="I54" s="2" t="s">
        <v>99</v>
      </c>
      <c r="J54" s="8" t="n">
        <f aca="false">F54*G54</f>
        <v>359.88</v>
      </c>
      <c r="K54" s="8" t="n">
        <f aca="false">ROUND(J54*Ipoteze!$B$4,2)</f>
        <v>75.57</v>
      </c>
      <c r="L54" s="8" t="n">
        <f aca="false">J54+K54</f>
        <v>435.45</v>
      </c>
      <c r="M54" s="8" t="n">
        <f aca="false">F54*H54</f>
        <v>108</v>
      </c>
      <c r="N54" s="2" t="n">
        <f aca="false">INDEX(Clienti!$E:$E,MATCH(I54,Clienti!$A:$A,0))</f>
        <v>30</v>
      </c>
      <c r="O54" s="19" t="n">
        <f aca="false">B54+N54</f>
        <v>46247</v>
      </c>
      <c r="P54" s="2" t="str">
        <f aca="false">IF(O54&gt;Ipoteze!$B$11,"Neincasat","Incasat")</f>
        <v>Incasat</v>
      </c>
    </row>
    <row r="55" customFormat="false" ht="15" hidden="false" customHeight="false" outlineLevel="0" collapsed="false">
      <c r="A55" s="2" t="s">
        <v>76</v>
      </c>
      <c r="B55" s="19" t="n">
        <v>46218</v>
      </c>
      <c r="C55" s="2" t="s">
        <v>158</v>
      </c>
      <c r="D55" s="2" t="s">
        <v>104</v>
      </c>
      <c r="E55" s="2" t="s">
        <v>105</v>
      </c>
      <c r="F55" s="2" t="n">
        <v>3</v>
      </c>
      <c r="G55" s="8" t="n">
        <v>219.5</v>
      </c>
      <c r="H55" s="8" t="n">
        <v>120</v>
      </c>
      <c r="I55" s="2" t="s">
        <v>110</v>
      </c>
      <c r="J55" s="8" t="n">
        <f aca="false">F55*G55</f>
        <v>658.5</v>
      </c>
      <c r="K55" s="8" t="n">
        <f aca="false">ROUND(J55*Ipoteze!$B$4,2)</f>
        <v>138.29</v>
      </c>
      <c r="L55" s="8" t="n">
        <f aca="false">J55+K55</f>
        <v>796.79</v>
      </c>
      <c r="M55" s="8" t="n">
        <f aca="false">F55*H55</f>
        <v>360</v>
      </c>
      <c r="N55" s="2" t="n">
        <f aca="false">INDEX(Clienti!$E:$E,MATCH(I55,Clienti!$A:$A,0))</f>
        <v>0</v>
      </c>
      <c r="O55" s="19" t="n">
        <f aca="false">B55+N55</f>
        <v>46218</v>
      </c>
      <c r="P55" s="2" t="str">
        <f aca="false">IF(O55&gt;Ipoteze!$B$11,"Neincasat","Incasat")</f>
        <v>Incasat</v>
      </c>
    </row>
    <row r="56" customFormat="false" ht="15" hidden="false" customHeight="false" outlineLevel="0" collapsed="false">
      <c r="A56" s="2" t="s">
        <v>76</v>
      </c>
      <c r="B56" s="19" t="n">
        <v>46218</v>
      </c>
      <c r="C56" s="2" t="s">
        <v>159</v>
      </c>
      <c r="D56" s="2" t="s">
        <v>94</v>
      </c>
      <c r="E56" s="2" t="s">
        <v>79</v>
      </c>
      <c r="F56" s="2" t="n">
        <v>13</v>
      </c>
      <c r="G56" s="8" t="n">
        <v>49.9</v>
      </c>
      <c r="H56" s="8" t="n">
        <v>19</v>
      </c>
      <c r="I56" s="2" t="s">
        <v>125</v>
      </c>
      <c r="J56" s="8" t="n">
        <f aca="false">F56*G56</f>
        <v>648.7</v>
      </c>
      <c r="K56" s="8" t="n">
        <f aca="false">ROUND(J56*Ipoteze!$B$4,2)</f>
        <v>136.23</v>
      </c>
      <c r="L56" s="8" t="n">
        <f aca="false">J56+K56</f>
        <v>784.93</v>
      </c>
      <c r="M56" s="8" t="n">
        <f aca="false">F56*H56</f>
        <v>247</v>
      </c>
      <c r="N56" s="2" t="n">
        <f aca="false">INDEX(Clienti!$E:$E,MATCH(I56,Clienti!$A:$A,0))</f>
        <v>15</v>
      </c>
      <c r="O56" s="19" t="n">
        <f aca="false">B56+N56</f>
        <v>46233</v>
      </c>
      <c r="P56" s="2" t="str">
        <f aca="false">IF(O56&gt;Ipoteze!$B$11,"Neincasat","Incasat")</f>
        <v>Incasat</v>
      </c>
    </row>
    <row r="57" customFormat="false" ht="15" hidden="false" customHeight="false" outlineLevel="0" collapsed="false">
      <c r="A57" s="2" t="s">
        <v>76</v>
      </c>
      <c r="B57" s="19" t="n">
        <v>46218</v>
      </c>
      <c r="C57" s="2" t="s">
        <v>160</v>
      </c>
      <c r="D57" s="2" t="s">
        <v>97</v>
      </c>
      <c r="E57" s="2" t="s">
        <v>98</v>
      </c>
      <c r="F57" s="2" t="n">
        <v>1</v>
      </c>
      <c r="G57" s="8" t="n">
        <v>449</v>
      </c>
      <c r="H57" s="8" t="n">
        <v>290</v>
      </c>
      <c r="I57" s="2" t="s">
        <v>110</v>
      </c>
      <c r="J57" s="8" t="n">
        <f aca="false">F57*G57</f>
        <v>449</v>
      </c>
      <c r="K57" s="8" t="n">
        <f aca="false">ROUND(J57*Ipoteze!$B$4,2)</f>
        <v>94.29</v>
      </c>
      <c r="L57" s="8" t="n">
        <f aca="false">J57+K57</f>
        <v>543.29</v>
      </c>
      <c r="M57" s="8" t="n">
        <f aca="false">F57*H57</f>
        <v>290</v>
      </c>
      <c r="N57" s="2" t="n">
        <f aca="false">INDEX(Clienti!$E:$E,MATCH(I57,Clienti!$A:$A,0))</f>
        <v>0</v>
      </c>
      <c r="O57" s="19" t="n">
        <f aca="false">B57+N57</f>
        <v>46218</v>
      </c>
      <c r="P57" s="2" t="str">
        <f aca="false">IF(O57&gt;Ipoteze!$B$11,"Neincasat","Incasat")</f>
        <v>Incasat</v>
      </c>
    </row>
    <row r="58" customFormat="false" ht="15" hidden="false" customHeight="false" outlineLevel="0" collapsed="false">
      <c r="A58" s="2" t="s">
        <v>76</v>
      </c>
      <c r="B58" s="19" t="n">
        <v>46218</v>
      </c>
      <c r="C58" s="2" t="s">
        <v>161</v>
      </c>
      <c r="D58" s="2" t="s">
        <v>97</v>
      </c>
      <c r="E58" s="2" t="s">
        <v>98</v>
      </c>
      <c r="F58" s="2" t="n">
        <v>2</v>
      </c>
      <c r="G58" s="8" t="n">
        <v>449</v>
      </c>
      <c r="H58" s="8" t="n">
        <v>290</v>
      </c>
      <c r="I58" s="2" t="s">
        <v>84</v>
      </c>
      <c r="J58" s="8" t="n">
        <f aca="false">F58*G58</f>
        <v>898</v>
      </c>
      <c r="K58" s="8" t="n">
        <f aca="false">ROUND(J58*Ipoteze!$B$4,2)</f>
        <v>188.58</v>
      </c>
      <c r="L58" s="8" t="n">
        <f aca="false">J58+K58</f>
        <v>1086.58</v>
      </c>
      <c r="M58" s="8" t="n">
        <f aca="false">F58*H58</f>
        <v>580</v>
      </c>
      <c r="N58" s="2" t="n">
        <f aca="false">INDEX(Clienti!$E:$E,MATCH(I58,Clienti!$A:$A,0))</f>
        <v>0</v>
      </c>
      <c r="O58" s="19" t="n">
        <f aca="false">B58+N58</f>
        <v>46218</v>
      </c>
      <c r="P58" s="2" t="str">
        <f aca="false">IF(O58&gt;Ipoteze!$B$11,"Neincasat","Incasat")</f>
        <v>Incasat</v>
      </c>
    </row>
    <row r="59" customFormat="false" ht="15" hidden="false" customHeight="false" outlineLevel="0" collapsed="false">
      <c r="A59" s="2" t="s">
        <v>76</v>
      </c>
      <c r="B59" s="19" t="n">
        <v>46219</v>
      </c>
      <c r="C59" s="2" t="s">
        <v>162</v>
      </c>
      <c r="D59" s="2" t="s">
        <v>94</v>
      </c>
      <c r="E59" s="2" t="s">
        <v>79</v>
      </c>
      <c r="F59" s="2" t="n">
        <v>22</v>
      </c>
      <c r="G59" s="8" t="n">
        <v>49.9</v>
      </c>
      <c r="H59" s="8" t="n">
        <v>19</v>
      </c>
      <c r="I59" s="2" t="s">
        <v>99</v>
      </c>
      <c r="J59" s="8" t="n">
        <f aca="false">F59*G59</f>
        <v>1097.8</v>
      </c>
      <c r="K59" s="8" t="n">
        <f aca="false">ROUND(J59*Ipoteze!$B$4,2)</f>
        <v>230.54</v>
      </c>
      <c r="L59" s="8" t="n">
        <f aca="false">J59+K59</f>
        <v>1328.34</v>
      </c>
      <c r="M59" s="8" t="n">
        <f aca="false">F59*H59</f>
        <v>418</v>
      </c>
      <c r="N59" s="2" t="n">
        <f aca="false">INDEX(Clienti!$E:$E,MATCH(I59,Clienti!$A:$A,0))</f>
        <v>30</v>
      </c>
      <c r="O59" s="19" t="n">
        <f aca="false">B59+N59</f>
        <v>46249</v>
      </c>
      <c r="P59" s="2" t="str">
        <f aca="false">IF(O59&gt;Ipoteze!$B$11,"Neincasat","Incasat")</f>
        <v>Incasat</v>
      </c>
    </row>
    <row r="60" customFormat="false" ht="15" hidden="false" customHeight="false" outlineLevel="0" collapsed="false">
      <c r="A60" s="2" t="s">
        <v>76</v>
      </c>
      <c r="B60" s="19" t="n">
        <v>46219</v>
      </c>
      <c r="C60" s="2" t="s">
        <v>163</v>
      </c>
      <c r="D60" s="2" t="s">
        <v>101</v>
      </c>
      <c r="E60" s="2" t="s">
        <v>79</v>
      </c>
      <c r="F60" s="2" t="n">
        <v>20</v>
      </c>
      <c r="G60" s="8" t="n">
        <v>149</v>
      </c>
      <c r="H60" s="8" t="n">
        <v>75</v>
      </c>
      <c r="I60" s="2" t="s">
        <v>99</v>
      </c>
      <c r="J60" s="8" t="n">
        <f aca="false">F60*G60</f>
        <v>2980</v>
      </c>
      <c r="K60" s="8" t="n">
        <f aca="false">ROUND(J60*Ipoteze!$B$4,2)</f>
        <v>625.8</v>
      </c>
      <c r="L60" s="8" t="n">
        <f aca="false">J60+K60</f>
        <v>3605.8</v>
      </c>
      <c r="M60" s="8" t="n">
        <f aca="false">F60*H60</f>
        <v>1500</v>
      </c>
      <c r="N60" s="2" t="n">
        <f aca="false">INDEX(Clienti!$E:$E,MATCH(I60,Clienti!$A:$A,0))</f>
        <v>30</v>
      </c>
      <c r="O60" s="19" t="n">
        <f aca="false">B60+N60</f>
        <v>46249</v>
      </c>
      <c r="P60" s="2" t="str">
        <f aca="false">IF(O60&gt;Ipoteze!$B$11,"Neincasat","Incasat")</f>
        <v>Incasat</v>
      </c>
    </row>
    <row r="61" customFormat="false" ht="15" hidden="false" customHeight="false" outlineLevel="0" collapsed="false">
      <c r="A61" s="2" t="s">
        <v>76</v>
      </c>
      <c r="B61" s="19" t="n">
        <v>46219</v>
      </c>
      <c r="C61" s="2" t="s">
        <v>164</v>
      </c>
      <c r="D61" s="2" t="s">
        <v>86</v>
      </c>
      <c r="E61" s="2" t="s">
        <v>87</v>
      </c>
      <c r="F61" s="2" t="n">
        <v>1</v>
      </c>
      <c r="G61" s="8" t="n">
        <v>54.9</v>
      </c>
      <c r="H61" s="8" t="n">
        <v>22</v>
      </c>
      <c r="I61" s="2" t="s">
        <v>92</v>
      </c>
      <c r="J61" s="8" t="n">
        <f aca="false">F61*G61</f>
        <v>54.9</v>
      </c>
      <c r="K61" s="8" t="n">
        <f aca="false">ROUND(J61*Ipoteze!$B$4,2)</f>
        <v>11.53</v>
      </c>
      <c r="L61" s="8" t="n">
        <f aca="false">J61+K61</f>
        <v>66.43</v>
      </c>
      <c r="M61" s="8" t="n">
        <f aca="false">F61*H61</f>
        <v>22</v>
      </c>
      <c r="N61" s="2" t="n">
        <f aca="false">INDEX(Clienti!$E:$E,MATCH(I61,Clienti!$A:$A,0))</f>
        <v>14</v>
      </c>
      <c r="O61" s="19" t="n">
        <f aca="false">B61+N61</f>
        <v>46233</v>
      </c>
      <c r="P61" s="2" t="str">
        <f aca="false">IF(O61&gt;Ipoteze!$B$11,"Neincasat","Incasat")</f>
        <v>Incasat</v>
      </c>
    </row>
    <row r="62" customFormat="false" ht="15" hidden="false" customHeight="false" outlineLevel="0" collapsed="false">
      <c r="A62" s="2" t="s">
        <v>76</v>
      </c>
      <c r="B62" s="19" t="n">
        <v>46219</v>
      </c>
      <c r="C62" s="2" t="s">
        <v>165</v>
      </c>
      <c r="D62" s="2" t="s">
        <v>86</v>
      </c>
      <c r="E62" s="2" t="s">
        <v>87</v>
      </c>
      <c r="F62" s="2" t="n">
        <v>1</v>
      </c>
      <c r="G62" s="8" t="n">
        <v>54.9</v>
      </c>
      <c r="H62" s="8" t="n">
        <v>22</v>
      </c>
      <c r="I62" s="2" t="s">
        <v>92</v>
      </c>
      <c r="J62" s="8" t="n">
        <f aca="false">F62*G62</f>
        <v>54.9</v>
      </c>
      <c r="K62" s="8" t="n">
        <f aca="false">ROUND(J62*Ipoteze!$B$4,2)</f>
        <v>11.53</v>
      </c>
      <c r="L62" s="8" t="n">
        <f aca="false">J62+K62</f>
        <v>66.43</v>
      </c>
      <c r="M62" s="8" t="n">
        <f aca="false">F62*H62</f>
        <v>22</v>
      </c>
      <c r="N62" s="2" t="n">
        <f aca="false">INDEX(Clienti!$E:$E,MATCH(I62,Clienti!$A:$A,0))</f>
        <v>14</v>
      </c>
      <c r="O62" s="19" t="n">
        <f aca="false">B62+N62</f>
        <v>46233</v>
      </c>
      <c r="P62" s="2" t="str">
        <f aca="false">IF(O62&gt;Ipoteze!$B$11,"Neincasat","Incasat")</f>
        <v>Incasat</v>
      </c>
    </row>
    <row r="63" customFormat="false" ht="15" hidden="false" customHeight="false" outlineLevel="0" collapsed="false">
      <c r="A63" s="2" t="s">
        <v>76</v>
      </c>
      <c r="B63" s="19" t="n">
        <v>46219</v>
      </c>
      <c r="C63" s="2" t="s">
        <v>166</v>
      </c>
      <c r="D63" s="2" t="s">
        <v>113</v>
      </c>
      <c r="E63" s="2" t="s">
        <v>114</v>
      </c>
      <c r="F63" s="2" t="n">
        <v>2</v>
      </c>
      <c r="G63" s="8" t="n">
        <v>1199</v>
      </c>
      <c r="H63" s="8" t="n">
        <v>780</v>
      </c>
      <c r="I63" s="2" t="s">
        <v>99</v>
      </c>
      <c r="J63" s="8" t="n">
        <f aca="false">F63*G63</f>
        <v>2398</v>
      </c>
      <c r="K63" s="8" t="n">
        <f aca="false">ROUND(J63*Ipoteze!$B$4,2)</f>
        <v>503.58</v>
      </c>
      <c r="L63" s="8" t="n">
        <f aca="false">J63+K63</f>
        <v>2901.58</v>
      </c>
      <c r="M63" s="8" t="n">
        <f aca="false">F63*H63</f>
        <v>1560</v>
      </c>
      <c r="N63" s="2" t="n">
        <f aca="false">INDEX(Clienti!$E:$E,MATCH(I63,Clienti!$A:$A,0))</f>
        <v>30</v>
      </c>
      <c r="O63" s="19" t="n">
        <f aca="false">B63+N63</f>
        <v>46249</v>
      </c>
      <c r="P63" s="2" t="str">
        <f aca="false">IF(O63&gt;Ipoteze!$B$11,"Neincasat","Incasat")</f>
        <v>Incasat</v>
      </c>
    </row>
    <row r="64" customFormat="false" ht="15" hidden="false" customHeight="false" outlineLevel="0" collapsed="false">
      <c r="A64" s="2" t="s">
        <v>76</v>
      </c>
      <c r="B64" s="19" t="n">
        <v>46219</v>
      </c>
      <c r="C64" s="2" t="s">
        <v>167</v>
      </c>
      <c r="D64" s="2" t="s">
        <v>89</v>
      </c>
      <c r="E64" s="2" t="s">
        <v>87</v>
      </c>
      <c r="F64" s="2" t="n">
        <v>21</v>
      </c>
      <c r="G64" s="8" t="n">
        <v>29.99</v>
      </c>
      <c r="H64" s="8" t="n">
        <v>9</v>
      </c>
      <c r="I64" s="2" t="s">
        <v>116</v>
      </c>
      <c r="J64" s="8" t="n">
        <f aca="false">F64*G64</f>
        <v>629.79</v>
      </c>
      <c r="K64" s="8" t="n">
        <f aca="false">ROUND(J64*Ipoteze!$B$4,2)</f>
        <v>132.26</v>
      </c>
      <c r="L64" s="8" t="n">
        <f aca="false">J64+K64</f>
        <v>762.05</v>
      </c>
      <c r="M64" s="8" t="n">
        <f aca="false">F64*H64</f>
        <v>189</v>
      </c>
      <c r="N64" s="2" t="n">
        <f aca="false">INDEX(Clienti!$E:$E,MATCH(I64,Clienti!$A:$A,0))</f>
        <v>30</v>
      </c>
      <c r="O64" s="19" t="n">
        <f aca="false">B64+N64</f>
        <v>46249</v>
      </c>
      <c r="P64" s="2" t="str">
        <f aca="false">IF(O64&gt;Ipoteze!$B$11,"Neincasat","Incasat")</f>
        <v>Incasat</v>
      </c>
    </row>
    <row r="65" customFormat="false" ht="15" hidden="false" customHeight="false" outlineLevel="0" collapsed="false">
      <c r="A65" s="2" t="s">
        <v>76</v>
      </c>
      <c r="B65" s="19" t="n">
        <v>46220</v>
      </c>
      <c r="C65" s="2" t="s">
        <v>168</v>
      </c>
      <c r="D65" s="2" t="s">
        <v>97</v>
      </c>
      <c r="E65" s="2" t="s">
        <v>98</v>
      </c>
      <c r="F65" s="2" t="n">
        <v>12</v>
      </c>
      <c r="G65" s="8" t="n">
        <v>449</v>
      </c>
      <c r="H65" s="8" t="n">
        <v>290</v>
      </c>
      <c r="I65" s="2" t="s">
        <v>95</v>
      </c>
      <c r="J65" s="8" t="n">
        <f aca="false">F65*G65</f>
        <v>5388</v>
      </c>
      <c r="K65" s="8" t="n">
        <f aca="false">ROUND(J65*Ipoteze!$B$4,2)</f>
        <v>1131.48</v>
      </c>
      <c r="L65" s="8" t="n">
        <f aca="false">J65+K65</f>
        <v>6519.48</v>
      </c>
      <c r="M65" s="8" t="n">
        <f aca="false">F65*H65</f>
        <v>3480</v>
      </c>
      <c r="N65" s="2" t="n">
        <f aca="false">INDEX(Clienti!$E:$E,MATCH(I65,Clienti!$A:$A,0))</f>
        <v>30</v>
      </c>
      <c r="O65" s="19" t="n">
        <f aca="false">B65+N65</f>
        <v>46250</v>
      </c>
      <c r="P65" s="2" t="str">
        <f aca="false">IF(O65&gt;Ipoteze!$B$11,"Neincasat","Incasat")</f>
        <v>Incasat</v>
      </c>
    </row>
    <row r="66" customFormat="false" ht="15" hidden="false" customHeight="false" outlineLevel="0" collapsed="false">
      <c r="A66" s="2" t="s">
        <v>76</v>
      </c>
      <c r="B66" s="19" t="n">
        <v>46220</v>
      </c>
      <c r="C66" s="2" t="s">
        <v>169</v>
      </c>
      <c r="D66" s="2" t="s">
        <v>134</v>
      </c>
      <c r="E66" s="2" t="s">
        <v>105</v>
      </c>
      <c r="F66" s="2" t="n">
        <v>19</v>
      </c>
      <c r="G66" s="8" t="n">
        <v>129.9</v>
      </c>
      <c r="H66" s="8" t="n">
        <v>70</v>
      </c>
      <c r="I66" s="2" t="s">
        <v>95</v>
      </c>
      <c r="J66" s="8" t="n">
        <f aca="false">F66*G66</f>
        <v>2468.1</v>
      </c>
      <c r="K66" s="8" t="n">
        <f aca="false">ROUND(J66*Ipoteze!$B$4,2)</f>
        <v>518.3</v>
      </c>
      <c r="L66" s="8" t="n">
        <f aca="false">J66+K66</f>
        <v>2986.4</v>
      </c>
      <c r="M66" s="8" t="n">
        <f aca="false">F66*H66</f>
        <v>1330</v>
      </c>
      <c r="N66" s="2" t="n">
        <f aca="false">INDEX(Clienti!$E:$E,MATCH(I66,Clienti!$A:$A,0))</f>
        <v>30</v>
      </c>
      <c r="O66" s="19" t="n">
        <f aca="false">B66+N66</f>
        <v>46250</v>
      </c>
      <c r="P66" s="2" t="str">
        <f aca="false">IF(O66&gt;Ipoteze!$B$11,"Neincasat","Incasat")</f>
        <v>Incasat</v>
      </c>
    </row>
    <row r="67" customFormat="false" ht="15" hidden="false" customHeight="false" outlineLevel="0" collapsed="false">
      <c r="A67" s="2" t="s">
        <v>76</v>
      </c>
      <c r="B67" s="19" t="n">
        <v>46220</v>
      </c>
      <c r="C67" s="2" t="s">
        <v>170</v>
      </c>
      <c r="D67" s="2" t="s">
        <v>134</v>
      </c>
      <c r="E67" s="2" t="s">
        <v>105</v>
      </c>
      <c r="F67" s="2" t="n">
        <v>1</v>
      </c>
      <c r="G67" s="8" t="n">
        <v>129.9</v>
      </c>
      <c r="H67" s="8" t="n">
        <v>70</v>
      </c>
      <c r="I67" s="2" t="s">
        <v>92</v>
      </c>
      <c r="J67" s="8" t="n">
        <f aca="false">F67*G67</f>
        <v>129.9</v>
      </c>
      <c r="K67" s="8" t="n">
        <f aca="false">ROUND(J67*Ipoteze!$B$4,2)</f>
        <v>27.28</v>
      </c>
      <c r="L67" s="8" t="n">
        <f aca="false">J67+K67</f>
        <v>157.18</v>
      </c>
      <c r="M67" s="8" t="n">
        <f aca="false">F67*H67</f>
        <v>70</v>
      </c>
      <c r="N67" s="2" t="n">
        <f aca="false">INDEX(Clienti!$E:$E,MATCH(I67,Clienti!$A:$A,0))</f>
        <v>14</v>
      </c>
      <c r="O67" s="19" t="n">
        <f aca="false">B67+N67</f>
        <v>46234</v>
      </c>
      <c r="P67" s="2" t="str">
        <f aca="false">IF(O67&gt;Ipoteze!$B$11,"Neincasat","Incasat")</f>
        <v>Incasat</v>
      </c>
    </row>
    <row r="68" customFormat="false" ht="15" hidden="false" customHeight="false" outlineLevel="0" collapsed="false">
      <c r="A68" s="2" t="s">
        <v>76</v>
      </c>
      <c r="B68" s="19" t="n">
        <v>46220</v>
      </c>
      <c r="C68" s="2" t="s">
        <v>171</v>
      </c>
      <c r="D68" s="2" t="s">
        <v>89</v>
      </c>
      <c r="E68" s="2" t="s">
        <v>87</v>
      </c>
      <c r="F68" s="2" t="n">
        <v>1</v>
      </c>
      <c r="G68" s="8" t="n">
        <v>29.99</v>
      </c>
      <c r="H68" s="8" t="n">
        <v>9</v>
      </c>
      <c r="I68" s="2" t="s">
        <v>92</v>
      </c>
      <c r="J68" s="8" t="n">
        <f aca="false">F68*G68</f>
        <v>29.99</v>
      </c>
      <c r="K68" s="8" t="n">
        <f aca="false">ROUND(J68*Ipoteze!$B$4,2)</f>
        <v>6.3</v>
      </c>
      <c r="L68" s="8" t="n">
        <f aca="false">J68+K68</f>
        <v>36.29</v>
      </c>
      <c r="M68" s="8" t="n">
        <f aca="false">F68*H68</f>
        <v>9</v>
      </c>
      <c r="N68" s="2" t="n">
        <f aca="false">INDEX(Clienti!$E:$E,MATCH(I68,Clienti!$A:$A,0))</f>
        <v>14</v>
      </c>
      <c r="O68" s="19" t="n">
        <f aca="false">B68+N68</f>
        <v>46234</v>
      </c>
      <c r="P68" s="2" t="str">
        <f aca="false">IF(O68&gt;Ipoteze!$B$11,"Neincasat","Incasat")</f>
        <v>Incasat</v>
      </c>
    </row>
    <row r="69" customFormat="false" ht="15" hidden="false" customHeight="false" outlineLevel="0" collapsed="false">
      <c r="A69" s="2" t="s">
        <v>76</v>
      </c>
      <c r="B69" s="19" t="n">
        <v>46220</v>
      </c>
      <c r="C69" s="2" t="s">
        <v>172</v>
      </c>
      <c r="D69" s="2" t="s">
        <v>94</v>
      </c>
      <c r="E69" s="2" t="s">
        <v>79</v>
      </c>
      <c r="F69" s="2" t="n">
        <v>7</v>
      </c>
      <c r="G69" s="8" t="n">
        <v>49.9</v>
      </c>
      <c r="H69" s="8" t="n">
        <v>19</v>
      </c>
      <c r="I69" s="2" t="s">
        <v>95</v>
      </c>
      <c r="J69" s="8" t="n">
        <f aca="false">F69*G69</f>
        <v>349.3</v>
      </c>
      <c r="K69" s="8" t="n">
        <f aca="false">ROUND(J69*Ipoteze!$B$4,2)</f>
        <v>73.35</v>
      </c>
      <c r="L69" s="8" t="n">
        <f aca="false">J69+K69</f>
        <v>422.65</v>
      </c>
      <c r="M69" s="8" t="n">
        <f aca="false">F69*H69</f>
        <v>133</v>
      </c>
      <c r="N69" s="2" t="n">
        <f aca="false">INDEX(Clienti!$E:$E,MATCH(I69,Clienti!$A:$A,0))</f>
        <v>30</v>
      </c>
      <c r="O69" s="19" t="n">
        <f aca="false">B69+N69</f>
        <v>46250</v>
      </c>
      <c r="P69" s="2" t="str">
        <f aca="false">IF(O69&gt;Ipoteze!$B$11,"Neincasat","Incasat")</f>
        <v>Incasat</v>
      </c>
    </row>
    <row r="70" customFormat="false" ht="15" hidden="false" customHeight="false" outlineLevel="0" collapsed="false">
      <c r="A70" s="2" t="s">
        <v>76</v>
      </c>
      <c r="B70" s="19" t="n">
        <v>46221</v>
      </c>
      <c r="C70" s="2" t="s">
        <v>173</v>
      </c>
      <c r="D70" s="2" t="s">
        <v>104</v>
      </c>
      <c r="E70" s="2" t="s">
        <v>105</v>
      </c>
      <c r="F70" s="2" t="n">
        <v>14</v>
      </c>
      <c r="G70" s="8" t="n">
        <v>219.5</v>
      </c>
      <c r="H70" s="8" t="n">
        <v>120</v>
      </c>
      <c r="I70" s="2" t="s">
        <v>116</v>
      </c>
      <c r="J70" s="8" t="n">
        <f aca="false">F70*G70</f>
        <v>3073</v>
      </c>
      <c r="K70" s="8" t="n">
        <f aca="false">ROUND(J70*Ipoteze!$B$4,2)</f>
        <v>645.33</v>
      </c>
      <c r="L70" s="8" t="n">
        <f aca="false">J70+K70</f>
        <v>3718.33</v>
      </c>
      <c r="M70" s="8" t="n">
        <f aca="false">F70*H70</f>
        <v>1680</v>
      </c>
      <c r="N70" s="2" t="n">
        <f aca="false">INDEX(Clienti!$E:$E,MATCH(I70,Clienti!$A:$A,0))</f>
        <v>30</v>
      </c>
      <c r="O70" s="19" t="n">
        <f aca="false">B70+N70</f>
        <v>46251</v>
      </c>
      <c r="P70" s="2" t="str">
        <f aca="false">IF(O70&gt;Ipoteze!$B$11,"Neincasat","Incasat")</f>
        <v>Incasat</v>
      </c>
    </row>
    <row r="71" customFormat="false" ht="15" hidden="false" customHeight="false" outlineLevel="0" collapsed="false">
      <c r="A71" s="2" t="s">
        <v>76</v>
      </c>
      <c r="B71" s="19" t="n">
        <v>46221</v>
      </c>
      <c r="C71" s="2" t="s">
        <v>174</v>
      </c>
      <c r="D71" s="2" t="s">
        <v>89</v>
      </c>
      <c r="E71" s="2" t="s">
        <v>87</v>
      </c>
      <c r="F71" s="2" t="n">
        <v>1</v>
      </c>
      <c r="G71" s="8" t="n">
        <v>29.99</v>
      </c>
      <c r="H71" s="8" t="n">
        <v>9</v>
      </c>
      <c r="I71" s="2" t="s">
        <v>84</v>
      </c>
      <c r="J71" s="8" t="n">
        <f aca="false">F71*G71</f>
        <v>29.99</v>
      </c>
      <c r="K71" s="8" t="n">
        <f aca="false">ROUND(J71*Ipoteze!$B$4,2)</f>
        <v>6.3</v>
      </c>
      <c r="L71" s="8" t="n">
        <f aca="false">J71+K71</f>
        <v>36.29</v>
      </c>
      <c r="M71" s="8" t="n">
        <f aca="false">F71*H71</f>
        <v>9</v>
      </c>
      <c r="N71" s="2" t="n">
        <f aca="false">INDEX(Clienti!$E:$E,MATCH(I71,Clienti!$A:$A,0))</f>
        <v>0</v>
      </c>
      <c r="O71" s="19" t="n">
        <f aca="false">B71+N71</f>
        <v>46221</v>
      </c>
      <c r="P71" s="2" t="str">
        <f aca="false">IF(O71&gt;Ipoteze!$B$11,"Neincasat","Incasat")</f>
        <v>Incasat</v>
      </c>
    </row>
    <row r="72" customFormat="false" ht="15" hidden="false" customHeight="false" outlineLevel="0" collapsed="false">
      <c r="A72" s="2" t="s">
        <v>76</v>
      </c>
      <c r="B72" s="19" t="n">
        <v>46221</v>
      </c>
      <c r="C72" s="2" t="s">
        <v>175</v>
      </c>
      <c r="D72" s="2" t="s">
        <v>113</v>
      </c>
      <c r="E72" s="2" t="s">
        <v>114</v>
      </c>
      <c r="F72" s="2" t="n">
        <v>1</v>
      </c>
      <c r="G72" s="8" t="n">
        <v>1199</v>
      </c>
      <c r="H72" s="8" t="n">
        <v>780</v>
      </c>
      <c r="I72" s="2" t="s">
        <v>84</v>
      </c>
      <c r="J72" s="8" t="n">
        <f aca="false">F72*G72</f>
        <v>1199</v>
      </c>
      <c r="K72" s="8" t="n">
        <f aca="false">ROUND(J72*Ipoteze!$B$4,2)</f>
        <v>251.79</v>
      </c>
      <c r="L72" s="8" t="n">
        <f aca="false">J72+K72</f>
        <v>1450.79</v>
      </c>
      <c r="M72" s="8" t="n">
        <f aca="false">F72*H72</f>
        <v>780</v>
      </c>
      <c r="N72" s="2" t="n">
        <f aca="false">INDEX(Clienti!$E:$E,MATCH(I72,Clienti!$A:$A,0))</f>
        <v>0</v>
      </c>
      <c r="O72" s="19" t="n">
        <f aca="false">B72+N72</f>
        <v>46221</v>
      </c>
      <c r="P72" s="2" t="str">
        <f aca="false">IF(O72&gt;Ipoteze!$B$11,"Neincasat","Incasat")</f>
        <v>Incasat</v>
      </c>
    </row>
    <row r="73" customFormat="false" ht="15" hidden="false" customHeight="false" outlineLevel="0" collapsed="false">
      <c r="A73" s="2" t="s">
        <v>76</v>
      </c>
      <c r="B73" s="19" t="n">
        <v>46221</v>
      </c>
      <c r="C73" s="2" t="s">
        <v>176</v>
      </c>
      <c r="D73" s="2" t="s">
        <v>130</v>
      </c>
      <c r="E73" s="2" t="s">
        <v>83</v>
      </c>
      <c r="F73" s="2" t="n">
        <v>22</v>
      </c>
      <c r="G73" s="8" t="n">
        <v>349</v>
      </c>
      <c r="H73" s="8" t="n">
        <v>190</v>
      </c>
      <c r="I73" s="2" t="s">
        <v>99</v>
      </c>
      <c r="J73" s="8" t="n">
        <f aca="false">F73*G73</f>
        <v>7678</v>
      </c>
      <c r="K73" s="8" t="n">
        <f aca="false">ROUND(J73*Ipoteze!$B$4,2)</f>
        <v>1612.38</v>
      </c>
      <c r="L73" s="8" t="n">
        <f aca="false">J73+K73</f>
        <v>9290.38</v>
      </c>
      <c r="M73" s="8" t="n">
        <f aca="false">F73*H73</f>
        <v>4180</v>
      </c>
      <c r="N73" s="2" t="n">
        <f aca="false">INDEX(Clienti!$E:$E,MATCH(I73,Clienti!$A:$A,0))</f>
        <v>30</v>
      </c>
      <c r="O73" s="19" t="n">
        <f aca="false">B73+N73</f>
        <v>46251</v>
      </c>
      <c r="P73" s="2" t="str">
        <f aca="false">IF(O73&gt;Ipoteze!$B$11,"Neincasat","Incasat")</f>
        <v>Incasat</v>
      </c>
    </row>
    <row r="74" customFormat="false" ht="15" hidden="false" customHeight="false" outlineLevel="0" collapsed="false">
      <c r="A74" s="2" t="s">
        <v>76</v>
      </c>
      <c r="B74" s="19" t="n">
        <v>46223</v>
      </c>
      <c r="C74" s="2" t="s">
        <v>177</v>
      </c>
      <c r="D74" s="2" t="s">
        <v>134</v>
      </c>
      <c r="E74" s="2" t="s">
        <v>105</v>
      </c>
      <c r="F74" s="2" t="n">
        <v>1</v>
      </c>
      <c r="G74" s="8" t="n">
        <v>129.9</v>
      </c>
      <c r="H74" s="8" t="n">
        <v>70</v>
      </c>
      <c r="I74" s="2" t="s">
        <v>84</v>
      </c>
      <c r="J74" s="8" t="n">
        <f aca="false">F74*G74</f>
        <v>129.9</v>
      </c>
      <c r="K74" s="8" t="n">
        <f aca="false">ROUND(J74*Ipoteze!$B$4,2)</f>
        <v>27.28</v>
      </c>
      <c r="L74" s="8" t="n">
        <f aca="false">J74+K74</f>
        <v>157.18</v>
      </c>
      <c r="M74" s="8" t="n">
        <f aca="false">F74*H74</f>
        <v>70</v>
      </c>
      <c r="N74" s="2" t="n">
        <f aca="false">INDEX(Clienti!$E:$E,MATCH(I74,Clienti!$A:$A,0))</f>
        <v>0</v>
      </c>
      <c r="O74" s="19" t="n">
        <f aca="false">B74+N74</f>
        <v>46223</v>
      </c>
      <c r="P74" s="2" t="str">
        <f aca="false">IF(O74&gt;Ipoteze!$B$11,"Neincasat","Incasat")</f>
        <v>Incasat</v>
      </c>
    </row>
    <row r="75" customFormat="false" ht="15" hidden="false" customHeight="false" outlineLevel="0" collapsed="false">
      <c r="A75" s="2" t="s">
        <v>76</v>
      </c>
      <c r="B75" s="19" t="n">
        <v>46223</v>
      </c>
      <c r="C75" s="2" t="s">
        <v>178</v>
      </c>
      <c r="D75" s="2" t="s">
        <v>82</v>
      </c>
      <c r="E75" s="2" t="s">
        <v>83</v>
      </c>
      <c r="F75" s="2" t="n">
        <v>1</v>
      </c>
      <c r="G75" s="8" t="n">
        <v>79.99</v>
      </c>
      <c r="H75" s="8" t="n">
        <v>45</v>
      </c>
      <c r="I75" s="2" t="s">
        <v>84</v>
      </c>
      <c r="J75" s="8" t="n">
        <f aca="false">F75*G75</f>
        <v>79.99</v>
      </c>
      <c r="K75" s="8" t="n">
        <f aca="false">ROUND(J75*Ipoteze!$B$4,2)</f>
        <v>16.8</v>
      </c>
      <c r="L75" s="8" t="n">
        <f aca="false">J75+K75</f>
        <v>96.79</v>
      </c>
      <c r="M75" s="8" t="n">
        <f aca="false">F75*H75</f>
        <v>45</v>
      </c>
      <c r="N75" s="2" t="n">
        <f aca="false">INDEX(Clienti!$E:$E,MATCH(I75,Clienti!$A:$A,0))</f>
        <v>0</v>
      </c>
      <c r="O75" s="19" t="n">
        <f aca="false">B75+N75</f>
        <v>46223</v>
      </c>
      <c r="P75" s="2" t="str">
        <f aca="false">IF(O75&gt;Ipoteze!$B$11,"Neincasat","Incasat")</f>
        <v>Incasat</v>
      </c>
    </row>
    <row r="76" customFormat="false" ht="15" hidden="false" customHeight="false" outlineLevel="0" collapsed="false">
      <c r="A76" s="2" t="s">
        <v>76</v>
      </c>
      <c r="B76" s="19" t="n">
        <v>46223</v>
      </c>
      <c r="C76" s="2" t="s">
        <v>179</v>
      </c>
      <c r="D76" s="2" t="s">
        <v>97</v>
      </c>
      <c r="E76" s="2" t="s">
        <v>98</v>
      </c>
      <c r="F76" s="2" t="n">
        <v>2</v>
      </c>
      <c r="G76" s="8" t="n">
        <v>449</v>
      </c>
      <c r="H76" s="8" t="n">
        <v>290</v>
      </c>
      <c r="I76" s="2" t="s">
        <v>92</v>
      </c>
      <c r="J76" s="8" t="n">
        <f aca="false">F76*G76</f>
        <v>898</v>
      </c>
      <c r="K76" s="8" t="n">
        <f aca="false">ROUND(J76*Ipoteze!$B$4,2)</f>
        <v>188.58</v>
      </c>
      <c r="L76" s="8" t="n">
        <f aca="false">J76+K76</f>
        <v>1086.58</v>
      </c>
      <c r="M76" s="8" t="n">
        <f aca="false">F76*H76</f>
        <v>580</v>
      </c>
      <c r="N76" s="2" t="n">
        <f aca="false">INDEX(Clienti!$E:$E,MATCH(I76,Clienti!$A:$A,0))</f>
        <v>14</v>
      </c>
      <c r="O76" s="19" t="n">
        <f aca="false">B76+N76</f>
        <v>46237</v>
      </c>
      <c r="P76" s="2" t="str">
        <f aca="false">IF(O76&gt;Ipoteze!$B$11,"Neincasat","Incasat")</f>
        <v>Incasat</v>
      </c>
    </row>
    <row r="77" customFormat="false" ht="15" hidden="false" customHeight="false" outlineLevel="0" collapsed="false">
      <c r="A77" s="2" t="s">
        <v>76</v>
      </c>
      <c r="B77" s="19" t="n">
        <v>46223</v>
      </c>
      <c r="C77" s="2" t="s">
        <v>180</v>
      </c>
      <c r="D77" s="2" t="s">
        <v>108</v>
      </c>
      <c r="E77" s="2" t="s">
        <v>83</v>
      </c>
      <c r="F77" s="2" t="n">
        <v>9</v>
      </c>
      <c r="G77" s="8" t="n">
        <v>289</v>
      </c>
      <c r="H77" s="8" t="n">
        <v>160</v>
      </c>
      <c r="I77" s="2" t="s">
        <v>95</v>
      </c>
      <c r="J77" s="8" t="n">
        <f aca="false">F77*G77</f>
        <v>2601</v>
      </c>
      <c r="K77" s="8" t="n">
        <f aca="false">ROUND(J77*Ipoteze!$B$4,2)</f>
        <v>546.21</v>
      </c>
      <c r="L77" s="8" t="n">
        <f aca="false">J77+K77</f>
        <v>3147.21</v>
      </c>
      <c r="M77" s="8" t="n">
        <f aca="false">F77*H77</f>
        <v>1440</v>
      </c>
      <c r="N77" s="2" t="n">
        <f aca="false">INDEX(Clienti!$E:$E,MATCH(I77,Clienti!$A:$A,0))</f>
        <v>30</v>
      </c>
      <c r="O77" s="19" t="n">
        <f aca="false">B77+N77</f>
        <v>46253</v>
      </c>
      <c r="P77" s="2" t="str">
        <f aca="false">IF(O77&gt;Ipoteze!$B$11,"Neincasat","Incasat")</f>
        <v>Incasat</v>
      </c>
    </row>
    <row r="78" customFormat="false" ht="15" hidden="false" customHeight="false" outlineLevel="0" collapsed="false">
      <c r="A78" s="2" t="s">
        <v>76</v>
      </c>
      <c r="B78" s="19" t="n">
        <v>46224</v>
      </c>
      <c r="C78" s="2" t="s">
        <v>181</v>
      </c>
      <c r="D78" s="2" t="s">
        <v>94</v>
      </c>
      <c r="E78" s="2" t="s">
        <v>79</v>
      </c>
      <c r="F78" s="2" t="n">
        <v>1</v>
      </c>
      <c r="G78" s="8" t="n">
        <v>49.9</v>
      </c>
      <c r="H78" s="8" t="n">
        <v>19</v>
      </c>
      <c r="I78" s="2" t="s">
        <v>84</v>
      </c>
      <c r="J78" s="8" t="n">
        <f aca="false">F78*G78</f>
        <v>49.9</v>
      </c>
      <c r="K78" s="8" t="n">
        <f aca="false">ROUND(J78*Ipoteze!$B$4,2)</f>
        <v>10.48</v>
      </c>
      <c r="L78" s="8" t="n">
        <f aca="false">J78+K78</f>
        <v>60.38</v>
      </c>
      <c r="M78" s="8" t="n">
        <f aca="false">F78*H78</f>
        <v>19</v>
      </c>
      <c r="N78" s="2" t="n">
        <f aca="false">INDEX(Clienti!$E:$E,MATCH(I78,Clienti!$A:$A,0))</f>
        <v>0</v>
      </c>
      <c r="O78" s="19" t="n">
        <f aca="false">B78+N78</f>
        <v>46224</v>
      </c>
      <c r="P78" s="2" t="str">
        <f aca="false">IF(O78&gt;Ipoteze!$B$11,"Neincasat","Incasat")</f>
        <v>Incasat</v>
      </c>
    </row>
    <row r="79" customFormat="false" ht="15" hidden="false" customHeight="false" outlineLevel="0" collapsed="false">
      <c r="A79" s="2" t="s">
        <v>76</v>
      </c>
      <c r="B79" s="19" t="n">
        <v>46224</v>
      </c>
      <c r="C79" s="2" t="s">
        <v>182</v>
      </c>
      <c r="D79" s="2" t="s">
        <v>78</v>
      </c>
      <c r="E79" s="2" t="s">
        <v>79</v>
      </c>
      <c r="F79" s="2" t="n">
        <v>22</v>
      </c>
      <c r="G79" s="8" t="n">
        <v>169</v>
      </c>
      <c r="H79" s="8" t="n">
        <v>85</v>
      </c>
      <c r="I79" s="2" t="s">
        <v>80</v>
      </c>
      <c r="J79" s="8" t="n">
        <f aca="false">F79*G79</f>
        <v>3718</v>
      </c>
      <c r="K79" s="8" t="n">
        <f aca="false">ROUND(J79*Ipoteze!$B$4,2)</f>
        <v>780.78</v>
      </c>
      <c r="L79" s="8" t="n">
        <f aca="false">J79+K79</f>
        <v>4498.78</v>
      </c>
      <c r="M79" s="8" t="n">
        <f aca="false">F79*H79</f>
        <v>1870</v>
      </c>
      <c r="N79" s="2" t="n">
        <f aca="false">INDEX(Clienti!$E:$E,MATCH(I79,Clienti!$A:$A,0))</f>
        <v>15</v>
      </c>
      <c r="O79" s="19" t="n">
        <f aca="false">B79+N79</f>
        <v>46239</v>
      </c>
      <c r="P79" s="2" t="str">
        <f aca="false">IF(O79&gt;Ipoteze!$B$11,"Neincasat","Incasat")</f>
        <v>Incasat</v>
      </c>
    </row>
    <row r="80" customFormat="false" ht="15" hidden="false" customHeight="false" outlineLevel="0" collapsed="false">
      <c r="A80" s="2" t="s">
        <v>76</v>
      </c>
      <c r="B80" s="19" t="n">
        <v>46224</v>
      </c>
      <c r="C80" s="2" t="s">
        <v>183</v>
      </c>
      <c r="D80" s="2" t="s">
        <v>78</v>
      </c>
      <c r="E80" s="2" t="s">
        <v>79</v>
      </c>
      <c r="F80" s="2" t="n">
        <v>9</v>
      </c>
      <c r="G80" s="8" t="n">
        <v>169</v>
      </c>
      <c r="H80" s="8" t="n">
        <v>85</v>
      </c>
      <c r="I80" s="2" t="s">
        <v>116</v>
      </c>
      <c r="J80" s="8" t="n">
        <f aca="false">F80*G80</f>
        <v>1521</v>
      </c>
      <c r="K80" s="8" t="n">
        <f aca="false">ROUND(J80*Ipoteze!$B$4,2)</f>
        <v>319.41</v>
      </c>
      <c r="L80" s="8" t="n">
        <f aca="false">J80+K80</f>
        <v>1840.41</v>
      </c>
      <c r="M80" s="8" t="n">
        <f aca="false">F80*H80</f>
        <v>765</v>
      </c>
      <c r="N80" s="2" t="n">
        <f aca="false">INDEX(Clienti!$E:$E,MATCH(I80,Clienti!$A:$A,0))</f>
        <v>30</v>
      </c>
      <c r="O80" s="19" t="n">
        <f aca="false">B80+N80</f>
        <v>46254</v>
      </c>
      <c r="P80" s="2" t="str">
        <f aca="false">IF(O80&gt;Ipoteze!$B$11,"Neincasat","Incasat")</f>
        <v>Incasat</v>
      </c>
    </row>
    <row r="81" customFormat="false" ht="15" hidden="false" customHeight="false" outlineLevel="0" collapsed="false">
      <c r="A81" s="2" t="s">
        <v>76</v>
      </c>
      <c r="B81" s="19" t="n">
        <v>46224</v>
      </c>
      <c r="C81" s="2" t="s">
        <v>184</v>
      </c>
      <c r="D81" s="2" t="s">
        <v>86</v>
      </c>
      <c r="E81" s="2" t="s">
        <v>87</v>
      </c>
      <c r="F81" s="2" t="n">
        <v>6</v>
      </c>
      <c r="G81" s="8" t="n">
        <v>54.9</v>
      </c>
      <c r="H81" s="8" t="n">
        <v>22</v>
      </c>
      <c r="I81" s="2" t="s">
        <v>95</v>
      </c>
      <c r="J81" s="8" t="n">
        <f aca="false">F81*G81</f>
        <v>329.4</v>
      </c>
      <c r="K81" s="8" t="n">
        <f aca="false">ROUND(J81*Ipoteze!$B$4,2)</f>
        <v>69.17</v>
      </c>
      <c r="L81" s="8" t="n">
        <f aca="false">J81+K81</f>
        <v>398.57</v>
      </c>
      <c r="M81" s="8" t="n">
        <f aca="false">F81*H81</f>
        <v>132</v>
      </c>
      <c r="N81" s="2" t="n">
        <f aca="false">INDEX(Clienti!$E:$E,MATCH(I81,Clienti!$A:$A,0))</f>
        <v>30</v>
      </c>
      <c r="O81" s="19" t="n">
        <f aca="false">B81+N81</f>
        <v>46254</v>
      </c>
      <c r="P81" s="2" t="str">
        <f aca="false">IF(O81&gt;Ipoteze!$B$11,"Neincasat","Incasat")</f>
        <v>Incasat</v>
      </c>
    </row>
    <row r="82" customFormat="false" ht="15" hidden="false" customHeight="false" outlineLevel="0" collapsed="false">
      <c r="A82" s="2" t="s">
        <v>76</v>
      </c>
      <c r="B82" s="19" t="n">
        <v>46224</v>
      </c>
      <c r="C82" s="2" t="s">
        <v>185</v>
      </c>
      <c r="D82" s="2" t="s">
        <v>97</v>
      </c>
      <c r="E82" s="2" t="s">
        <v>98</v>
      </c>
      <c r="F82" s="2" t="n">
        <v>8</v>
      </c>
      <c r="G82" s="8" t="n">
        <v>449</v>
      </c>
      <c r="H82" s="8" t="n">
        <v>290</v>
      </c>
      <c r="I82" s="2" t="s">
        <v>80</v>
      </c>
      <c r="J82" s="8" t="n">
        <f aca="false">F82*G82</f>
        <v>3592</v>
      </c>
      <c r="K82" s="8" t="n">
        <f aca="false">ROUND(J82*Ipoteze!$B$4,2)</f>
        <v>754.32</v>
      </c>
      <c r="L82" s="8" t="n">
        <f aca="false">J82+K82</f>
        <v>4346.32</v>
      </c>
      <c r="M82" s="8" t="n">
        <f aca="false">F82*H82</f>
        <v>2320</v>
      </c>
      <c r="N82" s="2" t="n">
        <f aca="false">INDEX(Clienti!$E:$E,MATCH(I82,Clienti!$A:$A,0))</f>
        <v>15</v>
      </c>
      <c r="O82" s="19" t="n">
        <f aca="false">B82+N82</f>
        <v>46239</v>
      </c>
      <c r="P82" s="2" t="str">
        <f aca="false">IF(O82&gt;Ipoteze!$B$11,"Neincasat","Incasat")</f>
        <v>Incasat</v>
      </c>
    </row>
    <row r="83" customFormat="false" ht="15" hidden="false" customHeight="false" outlineLevel="0" collapsed="false">
      <c r="A83" s="2" t="s">
        <v>76</v>
      </c>
      <c r="B83" s="19" t="n">
        <v>46225</v>
      </c>
      <c r="C83" s="2" t="s">
        <v>186</v>
      </c>
      <c r="D83" s="2" t="s">
        <v>108</v>
      </c>
      <c r="E83" s="2" t="s">
        <v>83</v>
      </c>
      <c r="F83" s="2" t="n">
        <v>3</v>
      </c>
      <c r="G83" s="8" t="n">
        <v>289</v>
      </c>
      <c r="H83" s="8" t="n">
        <v>160</v>
      </c>
      <c r="I83" s="2" t="s">
        <v>110</v>
      </c>
      <c r="J83" s="8" t="n">
        <f aca="false">F83*G83</f>
        <v>867</v>
      </c>
      <c r="K83" s="8" t="n">
        <f aca="false">ROUND(J83*Ipoteze!$B$4,2)</f>
        <v>182.07</v>
      </c>
      <c r="L83" s="8" t="n">
        <f aca="false">J83+K83</f>
        <v>1049.07</v>
      </c>
      <c r="M83" s="8" t="n">
        <f aca="false">F83*H83</f>
        <v>480</v>
      </c>
      <c r="N83" s="2" t="n">
        <f aca="false">INDEX(Clienti!$E:$E,MATCH(I83,Clienti!$A:$A,0))</f>
        <v>0</v>
      </c>
      <c r="O83" s="19" t="n">
        <f aca="false">B83+N83</f>
        <v>46225</v>
      </c>
      <c r="P83" s="2" t="str">
        <f aca="false">IF(O83&gt;Ipoteze!$B$11,"Neincasat","Incasat")</f>
        <v>Incasat</v>
      </c>
    </row>
    <row r="84" customFormat="false" ht="15" hidden="false" customHeight="false" outlineLevel="0" collapsed="false">
      <c r="A84" s="2" t="s">
        <v>76</v>
      </c>
      <c r="B84" s="19" t="n">
        <v>46225</v>
      </c>
      <c r="C84" s="2" t="s">
        <v>187</v>
      </c>
      <c r="D84" s="2" t="s">
        <v>82</v>
      </c>
      <c r="E84" s="2" t="s">
        <v>83</v>
      </c>
      <c r="F84" s="2" t="n">
        <v>2</v>
      </c>
      <c r="G84" s="8" t="n">
        <v>79.99</v>
      </c>
      <c r="H84" s="8" t="n">
        <v>45</v>
      </c>
      <c r="I84" s="2" t="s">
        <v>92</v>
      </c>
      <c r="J84" s="8" t="n">
        <f aca="false">F84*G84</f>
        <v>159.98</v>
      </c>
      <c r="K84" s="8" t="n">
        <f aca="false">ROUND(J84*Ipoteze!$B$4,2)</f>
        <v>33.6</v>
      </c>
      <c r="L84" s="8" t="n">
        <f aca="false">J84+K84</f>
        <v>193.58</v>
      </c>
      <c r="M84" s="8" t="n">
        <f aca="false">F84*H84</f>
        <v>90</v>
      </c>
      <c r="N84" s="2" t="n">
        <f aca="false">INDEX(Clienti!$E:$E,MATCH(I84,Clienti!$A:$A,0))</f>
        <v>14</v>
      </c>
      <c r="O84" s="19" t="n">
        <f aca="false">B84+N84</f>
        <v>46239</v>
      </c>
      <c r="P84" s="2" t="str">
        <f aca="false">IF(O84&gt;Ipoteze!$B$11,"Neincasat","Incasat")</f>
        <v>Incasat</v>
      </c>
    </row>
    <row r="85" customFormat="false" ht="15" hidden="false" customHeight="false" outlineLevel="0" collapsed="false">
      <c r="A85" s="2" t="s">
        <v>76</v>
      </c>
      <c r="B85" s="19" t="n">
        <v>46225</v>
      </c>
      <c r="C85" s="2" t="s">
        <v>188</v>
      </c>
      <c r="D85" s="2" t="s">
        <v>124</v>
      </c>
      <c r="E85" s="2" t="s">
        <v>98</v>
      </c>
      <c r="F85" s="2" t="n">
        <v>1</v>
      </c>
      <c r="G85" s="8" t="n">
        <v>39.9</v>
      </c>
      <c r="H85" s="8" t="n">
        <v>18</v>
      </c>
      <c r="I85" s="2" t="s">
        <v>110</v>
      </c>
      <c r="J85" s="8" t="n">
        <f aca="false">F85*G85</f>
        <v>39.9</v>
      </c>
      <c r="K85" s="8" t="n">
        <f aca="false">ROUND(J85*Ipoteze!$B$4,2)</f>
        <v>8.38</v>
      </c>
      <c r="L85" s="8" t="n">
        <f aca="false">J85+K85</f>
        <v>48.28</v>
      </c>
      <c r="M85" s="8" t="n">
        <f aca="false">F85*H85</f>
        <v>18</v>
      </c>
      <c r="N85" s="2" t="n">
        <f aca="false">INDEX(Clienti!$E:$E,MATCH(I85,Clienti!$A:$A,0))</f>
        <v>0</v>
      </c>
      <c r="O85" s="19" t="n">
        <f aca="false">B85+N85</f>
        <v>46225</v>
      </c>
      <c r="P85" s="2" t="str">
        <f aca="false">IF(O85&gt;Ipoteze!$B$11,"Neincasat","Incasat")</f>
        <v>Incasat</v>
      </c>
    </row>
    <row r="86" customFormat="false" ht="15" hidden="false" customHeight="false" outlineLevel="0" collapsed="false">
      <c r="A86" s="2" t="s">
        <v>76</v>
      </c>
      <c r="B86" s="19" t="n">
        <v>46225</v>
      </c>
      <c r="C86" s="2" t="s">
        <v>189</v>
      </c>
      <c r="D86" s="2" t="s">
        <v>82</v>
      </c>
      <c r="E86" s="2" t="s">
        <v>83</v>
      </c>
      <c r="F86" s="2" t="n">
        <v>12</v>
      </c>
      <c r="G86" s="8" t="n">
        <v>79.99</v>
      </c>
      <c r="H86" s="8" t="n">
        <v>45</v>
      </c>
      <c r="I86" s="2" t="s">
        <v>125</v>
      </c>
      <c r="J86" s="8" t="n">
        <f aca="false">F86*G86</f>
        <v>959.88</v>
      </c>
      <c r="K86" s="8" t="n">
        <f aca="false">ROUND(J86*Ipoteze!$B$4,2)</f>
        <v>201.57</v>
      </c>
      <c r="L86" s="8" t="n">
        <f aca="false">J86+K86</f>
        <v>1161.45</v>
      </c>
      <c r="M86" s="8" t="n">
        <f aca="false">F86*H86</f>
        <v>540</v>
      </c>
      <c r="N86" s="2" t="n">
        <f aca="false">INDEX(Clienti!$E:$E,MATCH(I86,Clienti!$A:$A,0))</f>
        <v>15</v>
      </c>
      <c r="O86" s="19" t="n">
        <f aca="false">B86+N86</f>
        <v>46240</v>
      </c>
      <c r="P86" s="2" t="str">
        <f aca="false">IF(O86&gt;Ipoteze!$B$11,"Neincasat","Incasat")</f>
        <v>Incasat</v>
      </c>
    </row>
    <row r="87" customFormat="false" ht="15" hidden="false" customHeight="false" outlineLevel="0" collapsed="false">
      <c r="A87" s="2" t="s">
        <v>76</v>
      </c>
      <c r="B87" s="19" t="n">
        <v>46225</v>
      </c>
      <c r="C87" s="2" t="s">
        <v>190</v>
      </c>
      <c r="D87" s="2" t="s">
        <v>134</v>
      </c>
      <c r="E87" s="2" t="s">
        <v>105</v>
      </c>
      <c r="F87" s="2" t="n">
        <v>1</v>
      </c>
      <c r="G87" s="8" t="n">
        <v>129.9</v>
      </c>
      <c r="H87" s="8" t="n">
        <v>70</v>
      </c>
      <c r="I87" s="2" t="s">
        <v>92</v>
      </c>
      <c r="J87" s="8" t="n">
        <f aca="false">F87*G87</f>
        <v>129.9</v>
      </c>
      <c r="K87" s="8" t="n">
        <f aca="false">ROUND(J87*Ipoteze!$B$4,2)</f>
        <v>27.28</v>
      </c>
      <c r="L87" s="8" t="n">
        <f aca="false">J87+K87</f>
        <v>157.18</v>
      </c>
      <c r="M87" s="8" t="n">
        <f aca="false">F87*H87</f>
        <v>70</v>
      </c>
      <c r="N87" s="2" t="n">
        <f aca="false">INDEX(Clienti!$E:$E,MATCH(I87,Clienti!$A:$A,0))</f>
        <v>14</v>
      </c>
      <c r="O87" s="19" t="n">
        <f aca="false">B87+N87</f>
        <v>46239</v>
      </c>
      <c r="P87" s="2" t="str">
        <f aca="false">IF(O87&gt;Ipoteze!$B$11,"Neincasat","Incasat")</f>
        <v>Incasat</v>
      </c>
    </row>
    <row r="88" customFormat="false" ht="15" hidden="false" customHeight="false" outlineLevel="0" collapsed="false">
      <c r="A88" s="2" t="s">
        <v>76</v>
      </c>
      <c r="B88" s="19" t="n">
        <v>46226</v>
      </c>
      <c r="C88" s="2" t="s">
        <v>191</v>
      </c>
      <c r="D88" s="2" t="s">
        <v>130</v>
      </c>
      <c r="E88" s="2" t="s">
        <v>83</v>
      </c>
      <c r="F88" s="2" t="n">
        <v>16</v>
      </c>
      <c r="G88" s="8" t="n">
        <v>349</v>
      </c>
      <c r="H88" s="8" t="n">
        <v>190</v>
      </c>
      <c r="I88" s="2" t="s">
        <v>125</v>
      </c>
      <c r="J88" s="8" t="n">
        <f aca="false">F88*G88</f>
        <v>5584</v>
      </c>
      <c r="K88" s="8" t="n">
        <f aca="false">ROUND(J88*Ipoteze!$B$4,2)</f>
        <v>1172.64</v>
      </c>
      <c r="L88" s="8" t="n">
        <f aca="false">J88+K88</f>
        <v>6756.64</v>
      </c>
      <c r="M88" s="8" t="n">
        <f aca="false">F88*H88</f>
        <v>3040</v>
      </c>
      <c r="N88" s="2" t="n">
        <f aca="false">INDEX(Clienti!$E:$E,MATCH(I88,Clienti!$A:$A,0))</f>
        <v>15</v>
      </c>
      <c r="O88" s="19" t="n">
        <f aca="false">B88+N88</f>
        <v>46241</v>
      </c>
      <c r="P88" s="2" t="str">
        <f aca="false">IF(O88&gt;Ipoteze!$B$11,"Neincasat","Incasat")</f>
        <v>Incasat</v>
      </c>
    </row>
    <row r="89" customFormat="false" ht="15" hidden="false" customHeight="false" outlineLevel="0" collapsed="false">
      <c r="A89" s="2" t="s">
        <v>76</v>
      </c>
      <c r="B89" s="19" t="n">
        <v>46226</v>
      </c>
      <c r="C89" s="2" t="s">
        <v>192</v>
      </c>
      <c r="D89" s="2" t="s">
        <v>134</v>
      </c>
      <c r="E89" s="2" t="s">
        <v>105</v>
      </c>
      <c r="F89" s="2" t="n">
        <v>1</v>
      </c>
      <c r="G89" s="8" t="n">
        <v>129.9</v>
      </c>
      <c r="H89" s="8" t="n">
        <v>70</v>
      </c>
      <c r="I89" s="2" t="s">
        <v>92</v>
      </c>
      <c r="J89" s="8" t="n">
        <f aca="false">F89*G89</f>
        <v>129.9</v>
      </c>
      <c r="K89" s="8" t="n">
        <f aca="false">ROUND(J89*Ipoteze!$B$4,2)</f>
        <v>27.28</v>
      </c>
      <c r="L89" s="8" t="n">
        <f aca="false">J89+K89</f>
        <v>157.18</v>
      </c>
      <c r="M89" s="8" t="n">
        <f aca="false">F89*H89</f>
        <v>70</v>
      </c>
      <c r="N89" s="2" t="n">
        <f aca="false">INDEX(Clienti!$E:$E,MATCH(I89,Clienti!$A:$A,0))</f>
        <v>14</v>
      </c>
      <c r="O89" s="19" t="n">
        <f aca="false">B89+N89</f>
        <v>46240</v>
      </c>
      <c r="P89" s="2" t="str">
        <f aca="false">IF(O89&gt;Ipoteze!$B$11,"Neincasat","Incasat")</f>
        <v>Incasat</v>
      </c>
    </row>
    <row r="90" customFormat="false" ht="15" hidden="false" customHeight="false" outlineLevel="0" collapsed="false">
      <c r="A90" s="2" t="s">
        <v>76</v>
      </c>
      <c r="B90" s="19" t="n">
        <v>46226</v>
      </c>
      <c r="C90" s="2" t="s">
        <v>193</v>
      </c>
      <c r="D90" s="2" t="s">
        <v>113</v>
      </c>
      <c r="E90" s="2" t="s">
        <v>114</v>
      </c>
      <c r="F90" s="2" t="n">
        <v>4</v>
      </c>
      <c r="G90" s="8" t="n">
        <v>1199</v>
      </c>
      <c r="H90" s="8" t="n">
        <v>780</v>
      </c>
      <c r="I90" s="2" t="s">
        <v>95</v>
      </c>
      <c r="J90" s="8" t="n">
        <f aca="false">F90*G90</f>
        <v>4796</v>
      </c>
      <c r="K90" s="8" t="n">
        <f aca="false">ROUND(J90*Ipoteze!$B$4,2)</f>
        <v>1007.16</v>
      </c>
      <c r="L90" s="8" t="n">
        <f aca="false">J90+K90</f>
        <v>5803.16</v>
      </c>
      <c r="M90" s="8" t="n">
        <f aca="false">F90*H90</f>
        <v>3120</v>
      </c>
      <c r="N90" s="2" t="n">
        <f aca="false">INDEX(Clienti!$E:$E,MATCH(I90,Clienti!$A:$A,0))</f>
        <v>30</v>
      </c>
      <c r="O90" s="19" t="n">
        <f aca="false">B90+N90</f>
        <v>46256</v>
      </c>
      <c r="P90" s="2" t="str">
        <f aca="false">IF(O90&gt;Ipoteze!$B$11,"Neincasat","Incasat")</f>
        <v>Incasat</v>
      </c>
    </row>
    <row r="91" customFormat="false" ht="15" hidden="false" customHeight="false" outlineLevel="0" collapsed="false">
      <c r="A91" s="2" t="s">
        <v>76</v>
      </c>
      <c r="B91" s="19" t="n">
        <v>46227</v>
      </c>
      <c r="C91" s="2" t="s">
        <v>194</v>
      </c>
      <c r="D91" s="2" t="s">
        <v>113</v>
      </c>
      <c r="E91" s="2" t="s">
        <v>114</v>
      </c>
      <c r="F91" s="2" t="n">
        <v>2</v>
      </c>
      <c r="G91" s="8" t="n">
        <v>1199</v>
      </c>
      <c r="H91" s="8" t="n">
        <v>780</v>
      </c>
      <c r="I91" s="2" t="s">
        <v>116</v>
      </c>
      <c r="J91" s="8" t="n">
        <f aca="false">F91*G91</f>
        <v>2398</v>
      </c>
      <c r="K91" s="8" t="n">
        <f aca="false">ROUND(J91*Ipoteze!$B$4,2)</f>
        <v>503.58</v>
      </c>
      <c r="L91" s="8" t="n">
        <f aca="false">J91+K91</f>
        <v>2901.58</v>
      </c>
      <c r="M91" s="8" t="n">
        <f aca="false">F91*H91</f>
        <v>1560</v>
      </c>
      <c r="N91" s="2" t="n">
        <f aca="false">INDEX(Clienti!$E:$E,MATCH(I91,Clienti!$A:$A,0))</f>
        <v>30</v>
      </c>
      <c r="O91" s="19" t="n">
        <f aca="false">B91+N91</f>
        <v>46257</v>
      </c>
      <c r="P91" s="2" t="str">
        <f aca="false">IF(O91&gt;Ipoteze!$B$11,"Neincasat","Incasat")</f>
        <v>Incasat</v>
      </c>
    </row>
    <row r="92" customFormat="false" ht="15" hidden="false" customHeight="false" outlineLevel="0" collapsed="false">
      <c r="A92" s="2" t="s">
        <v>76</v>
      </c>
      <c r="B92" s="19" t="n">
        <v>46227</v>
      </c>
      <c r="C92" s="2" t="s">
        <v>195</v>
      </c>
      <c r="D92" s="2" t="s">
        <v>101</v>
      </c>
      <c r="E92" s="2" t="s">
        <v>79</v>
      </c>
      <c r="F92" s="2" t="n">
        <v>1</v>
      </c>
      <c r="G92" s="8" t="n">
        <v>149</v>
      </c>
      <c r="H92" s="8" t="n">
        <v>75</v>
      </c>
      <c r="I92" s="2" t="s">
        <v>92</v>
      </c>
      <c r="J92" s="8" t="n">
        <f aca="false">F92*G92</f>
        <v>149</v>
      </c>
      <c r="K92" s="8" t="n">
        <f aca="false">ROUND(J92*Ipoteze!$B$4,2)</f>
        <v>31.29</v>
      </c>
      <c r="L92" s="8" t="n">
        <f aca="false">J92+K92</f>
        <v>180.29</v>
      </c>
      <c r="M92" s="8" t="n">
        <f aca="false">F92*H92</f>
        <v>75</v>
      </c>
      <c r="N92" s="2" t="n">
        <f aca="false">INDEX(Clienti!$E:$E,MATCH(I92,Clienti!$A:$A,0))</f>
        <v>14</v>
      </c>
      <c r="O92" s="19" t="n">
        <f aca="false">B92+N92</f>
        <v>46241</v>
      </c>
      <c r="P92" s="2" t="str">
        <f aca="false">IF(O92&gt;Ipoteze!$B$11,"Neincasat","Incasat")</f>
        <v>Incasat</v>
      </c>
    </row>
    <row r="93" customFormat="false" ht="15" hidden="false" customHeight="false" outlineLevel="0" collapsed="false">
      <c r="A93" s="2" t="s">
        <v>76</v>
      </c>
      <c r="B93" s="19" t="n">
        <v>46227</v>
      </c>
      <c r="C93" s="2" t="s">
        <v>196</v>
      </c>
      <c r="D93" s="2" t="s">
        <v>124</v>
      </c>
      <c r="E93" s="2" t="s">
        <v>98</v>
      </c>
      <c r="F93" s="2" t="n">
        <v>18</v>
      </c>
      <c r="G93" s="8" t="n">
        <v>39.9</v>
      </c>
      <c r="H93" s="8" t="n">
        <v>18</v>
      </c>
      <c r="I93" s="2" t="s">
        <v>116</v>
      </c>
      <c r="J93" s="8" t="n">
        <f aca="false">F93*G93</f>
        <v>718.2</v>
      </c>
      <c r="K93" s="8" t="n">
        <f aca="false">ROUND(J93*Ipoteze!$B$4,2)</f>
        <v>150.82</v>
      </c>
      <c r="L93" s="8" t="n">
        <f aca="false">J93+K93</f>
        <v>869.02</v>
      </c>
      <c r="M93" s="8" t="n">
        <f aca="false">F93*H93</f>
        <v>324</v>
      </c>
      <c r="N93" s="2" t="n">
        <f aca="false">INDEX(Clienti!$E:$E,MATCH(I93,Clienti!$A:$A,0))</f>
        <v>30</v>
      </c>
      <c r="O93" s="19" t="n">
        <f aca="false">B93+N93</f>
        <v>46257</v>
      </c>
      <c r="P93" s="2" t="str">
        <f aca="false">IF(O93&gt;Ipoteze!$B$11,"Neincasat","Incasat")</f>
        <v>Incasat</v>
      </c>
    </row>
    <row r="94" customFormat="false" ht="15" hidden="false" customHeight="false" outlineLevel="0" collapsed="false">
      <c r="A94" s="2" t="s">
        <v>76</v>
      </c>
      <c r="B94" s="19" t="n">
        <v>46227</v>
      </c>
      <c r="C94" s="2" t="s">
        <v>197</v>
      </c>
      <c r="D94" s="2" t="s">
        <v>134</v>
      </c>
      <c r="E94" s="2" t="s">
        <v>105</v>
      </c>
      <c r="F94" s="2" t="n">
        <v>2</v>
      </c>
      <c r="G94" s="8" t="n">
        <v>129.9</v>
      </c>
      <c r="H94" s="8" t="n">
        <v>70</v>
      </c>
      <c r="I94" s="2" t="s">
        <v>110</v>
      </c>
      <c r="J94" s="8" t="n">
        <f aca="false">F94*G94</f>
        <v>259.8</v>
      </c>
      <c r="K94" s="8" t="n">
        <f aca="false">ROUND(J94*Ipoteze!$B$4,2)</f>
        <v>54.56</v>
      </c>
      <c r="L94" s="8" t="n">
        <f aca="false">J94+K94</f>
        <v>314.36</v>
      </c>
      <c r="M94" s="8" t="n">
        <f aca="false">F94*H94</f>
        <v>140</v>
      </c>
      <c r="N94" s="2" t="n">
        <f aca="false">INDEX(Clienti!$E:$E,MATCH(I94,Clienti!$A:$A,0))</f>
        <v>0</v>
      </c>
      <c r="O94" s="19" t="n">
        <f aca="false">B94+N94</f>
        <v>46227</v>
      </c>
      <c r="P94" s="2" t="str">
        <f aca="false">IF(O94&gt;Ipoteze!$B$11,"Neincasat","Incasat")</f>
        <v>Incasat</v>
      </c>
    </row>
    <row r="95" customFormat="false" ht="15" hidden="false" customHeight="false" outlineLevel="0" collapsed="false">
      <c r="A95" s="2" t="s">
        <v>76</v>
      </c>
      <c r="B95" s="19" t="n">
        <v>46227</v>
      </c>
      <c r="C95" s="2" t="s">
        <v>198</v>
      </c>
      <c r="D95" s="2" t="s">
        <v>86</v>
      </c>
      <c r="E95" s="2" t="s">
        <v>87</v>
      </c>
      <c r="F95" s="2" t="n">
        <v>11</v>
      </c>
      <c r="G95" s="8" t="n">
        <v>54.9</v>
      </c>
      <c r="H95" s="8" t="n">
        <v>22</v>
      </c>
      <c r="I95" s="2" t="s">
        <v>116</v>
      </c>
      <c r="J95" s="8" t="n">
        <f aca="false">F95*G95</f>
        <v>603.9</v>
      </c>
      <c r="K95" s="8" t="n">
        <f aca="false">ROUND(J95*Ipoteze!$B$4,2)</f>
        <v>126.82</v>
      </c>
      <c r="L95" s="8" t="n">
        <f aca="false">J95+K95</f>
        <v>730.72</v>
      </c>
      <c r="M95" s="8" t="n">
        <f aca="false">F95*H95</f>
        <v>242</v>
      </c>
      <c r="N95" s="2" t="n">
        <f aca="false">INDEX(Clienti!$E:$E,MATCH(I95,Clienti!$A:$A,0))</f>
        <v>30</v>
      </c>
      <c r="O95" s="19" t="n">
        <f aca="false">B95+N95</f>
        <v>46257</v>
      </c>
      <c r="P95" s="2" t="str">
        <f aca="false">IF(O95&gt;Ipoteze!$B$11,"Neincasat","Incasat")</f>
        <v>Incasat</v>
      </c>
    </row>
    <row r="96" customFormat="false" ht="15" hidden="false" customHeight="false" outlineLevel="0" collapsed="false">
      <c r="A96" s="2" t="s">
        <v>76</v>
      </c>
      <c r="B96" s="19" t="n">
        <v>46228</v>
      </c>
      <c r="C96" s="2" t="s">
        <v>199</v>
      </c>
      <c r="D96" s="2" t="s">
        <v>101</v>
      </c>
      <c r="E96" s="2" t="s">
        <v>79</v>
      </c>
      <c r="F96" s="2" t="n">
        <v>22</v>
      </c>
      <c r="G96" s="8" t="n">
        <v>149</v>
      </c>
      <c r="H96" s="8" t="n">
        <v>75</v>
      </c>
      <c r="I96" s="2" t="s">
        <v>116</v>
      </c>
      <c r="J96" s="8" t="n">
        <f aca="false">F96*G96</f>
        <v>3278</v>
      </c>
      <c r="K96" s="8" t="n">
        <f aca="false">ROUND(J96*Ipoteze!$B$4,2)</f>
        <v>688.38</v>
      </c>
      <c r="L96" s="8" t="n">
        <f aca="false">J96+K96</f>
        <v>3966.38</v>
      </c>
      <c r="M96" s="8" t="n">
        <f aca="false">F96*H96</f>
        <v>1650</v>
      </c>
      <c r="N96" s="2" t="n">
        <f aca="false">INDEX(Clienti!$E:$E,MATCH(I96,Clienti!$A:$A,0))</f>
        <v>30</v>
      </c>
      <c r="O96" s="19" t="n">
        <f aca="false">B96+N96</f>
        <v>46258</v>
      </c>
      <c r="P96" s="2" t="str">
        <f aca="false">IF(O96&gt;Ipoteze!$B$11,"Neincasat","Incasat")</f>
        <v>Incasat</v>
      </c>
    </row>
    <row r="97" customFormat="false" ht="15" hidden="false" customHeight="false" outlineLevel="0" collapsed="false">
      <c r="A97" s="2" t="s">
        <v>76</v>
      </c>
      <c r="B97" s="19" t="n">
        <v>46228</v>
      </c>
      <c r="C97" s="2" t="s">
        <v>200</v>
      </c>
      <c r="D97" s="2" t="s">
        <v>82</v>
      </c>
      <c r="E97" s="2" t="s">
        <v>83</v>
      </c>
      <c r="F97" s="2" t="n">
        <v>2</v>
      </c>
      <c r="G97" s="8" t="n">
        <v>79.99</v>
      </c>
      <c r="H97" s="8" t="n">
        <v>45</v>
      </c>
      <c r="I97" s="2" t="s">
        <v>84</v>
      </c>
      <c r="J97" s="8" t="n">
        <f aca="false">F97*G97</f>
        <v>159.98</v>
      </c>
      <c r="K97" s="8" t="n">
        <f aca="false">ROUND(J97*Ipoteze!$B$4,2)</f>
        <v>33.6</v>
      </c>
      <c r="L97" s="8" t="n">
        <f aca="false">J97+K97</f>
        <v>193.58</v>
      </c>
      <c r="M97" s="8" t="n">
        <f aca="false">F97*H97</f>
        <v>90</v>
      </c>
      <c r="N97" s="2" t="n">
        <f aca="false">INDEX(Clienti!$E:$E,MATCH(I97,Clienti!$A:$A,0))</f>
        <v>0</v>
      </c>
      <c r="O97" s="19" t="n">
        <f aca="false">B97+N97</f>
        <v>46228</v>
      </c>
      <c r="P97" s="2" t="str">
        <f aca="false">IF(O97&gt;Ipoteze!$B$11,"Neincasat","Incasat")</f>
        <v>Incasat</v>
      </c>
    </row>
    <row r="98" customFormat="false" ht="15" hidden="false" customHeight="false" outlineLevel="0" collapsed="false">
      <c r="A98" s="2" t="s">
        <v>76</v>
      </c>
      <c r="B98" s="19" t="n">
        <v>46228</v>
      </c>
      <c r="C98" s="2" t="s">
        <v>201</v>
      </c>
      <c r="D98" s="2" t="s">
        <v>104</v>
      </c>
      <c r="E98" s="2" t="s">
        <v>105</v>
      </c>
      <c r="F98" s="2" t="n">
        <v>15</v>
      </c>
      <c r="G98" s="8" t="n">
        <v>219.5</v>
      </c>
      <c r="H98" s="8" t="n">
        <v>120</v>
      </c>
      <c r="I98" s="2" t="s">
        <v>95</v>
      </c>
      <c r="J98" s="8" t="n">
        <f aca="false">F98*G98</f>
        <v>3292.5</v>
      </c>
      <c r="K98" s="8" t="n">
        <f aca="false">ROUND(J98*Ipoteze!$B$4,2)</f>
        <v>691.43</v>
      </c>
      <c r="L98" s="8" t="n">
        <f aca="false">J98+K98</f>
        <v>3983.93</v>
      </c>
      <c r="M98" s="8" t="n">
        <f aca="false">F98*H98</f>
        <v>1800</v>
      </c>
      <c r="N98" s="2" t="n">
        <f aca="false">INDEX(Clienti!$E:$E,MATCH(I98,Clienti!$A:$A,0))</f>
        <v>30</v>
      </c>
      <c r="O98" s="19" t="n">
        <f aca="false">B98+N98</f>
        <v>46258</v>
      </c>
      <c r="P98" s="2" t="str">
        <f aca="false">IF(O98&gt;Ipoteze!$B$11,"Neincasat","Incasat")</f>
        <v>Incasat</v>
      </c>
    </row>
    <row r="99" customFormat="false" ht="15" hidden="false" customHeight="false" outlineLevel="0" collapsed="false">
      <c r="A99" s="2" t="s">
        <v>76</v>
      </c>
      <c r="B99" s="19" t="n">
        <v>46228</v>
      </c>
      <c r="C99" s="2" t="s">
        <v>202</v>
      </c>
      <c r="D99" s="2" t="s">
        <v>113</v>
      </c>
      <c r="E99" s="2" t="s">
        <v>114</v>
      </c>
      <c r="F99" s="2" t="n">
        <v>4</v>
      </c>
      <c r="G99" s="8" t="n">
        <v>1199</v>
      </c>
      <c r="H99" s="8" t="n">
        <v>780</v>
      </c>
      <c r="I99" s="2" t="s">
        <v>95</v>
      </c>
      <c r="J99" s="8" t="n">
        <f aca="false">F99*G99</f>
        <v>4796</v>
      </c>
      <c r="K99" s="8" t="n">
        <f aca="false">ROUND(J99*Ipoteze!$B$4,2)</f>
        <v>1007.16</v>
      </c>
      <c r="L99" s="8" t="n">
        <f aca="false">J99+K99</f>
        <v>5803.16</v>
      </c>
      <c r="M99" s="8" t="n">
        <f aca="false">F99*H99</f>
        <v>3120</v>
      </c>
      <c r="N99" s="2" t="n">
        <f aca="false">INDEX(Clienti!$E:$E,MATCH(I99,Clienti!$A:$A,0))</f>
        <v>30</v>
      </c>
      <c r="O99" s="19" t="n">
        <f aca="false">B99+N99</f>
        <v>46258</v>
      </c>
      <c r="P99" s="2" t="str">
        <f aca="false">IF(O99&gt;Ipoteze!$B$11,"Neincasat","Incasat")</f>
        <v>Incasat</v>
      </c>
    </row>
    <row r="100" customFormat="false" ht="15" hidden="false" customHeight="false" outlineLevel="0" collapsed="false">
      <c r="A100" s="2" t="s">
        <v>76</v>
      </c>
      <c r="B100" s="19" t="n">
        <v>46228</v>
      </c>
      <c r="C100" s="2" t="s">
        <v>203</v>
      </c>
      <c r="D100" s="2" t="s">
        <v>113</v>
      </c>
      <c r="E100" s="2" t="s">
        <v>114</v>
      </c>
      <c r="F100" s="2" t="n">
        <v>3</v>
      </c>
      <c r="G100" s="8" t="n">
        <v>1199</v>
      </c>
      <c r="H100" s="8" t="n">
        <v>780</v>
      </c>
      <c r="I100" s="2" t="s">
        <v>95</v>
      </c>
      <c r="J100" s="8" t="n">
        <f aca="false">F100*G100</f>
        <v>3597</v>
      </c>
      <c r="K100" s="8" t="n">
        <f aca="false">ROUND(J100*Ipoteze!$B$4,2)</f>
        <v>755.37</v>
      </c>
      <c r="L100" s="8" t="n">
        <f aca="false">J100+K100</f>
        <v>4352.37</v>
      </c>
      <c r="M100" s="8" t="n">
        <f aca="false">F100*H100</f>
        <v>2340</v>
      </c>
      <c r="N100" s="2" t="n">
        <f aca="false">INDEX(Clienti!$E:$E,MATCH(I100,Clienti!$A:$A,0))</f>
        <v>30</v>
      </c>
      <c r="O100" s="19" t="n">
        <f aca="false">B100+N100</f>
        <v>46258</v>
      </c>
      <c r="P100" s="2" t="str">
        <f aca="false">IF(O100&gt;Ipoteze!$B$11,"Neincasat","Incasat")</f>
        <v>Incasat</v>
      </c>
    </row>
    <row r="101" customFormat="false" ht="15" hidden="false" customHeight="false" outlineLevel="0" collapsed="false">
      <c r="A101" s="2" t="s">
        <v>76</v>
      </c>
      <c r="B101" s="19" t="n">
        <v>46230</v>
      </c>
      <c r="C101" s="2" t="s">
        <v>204</v>
      </c>
      <c r="D101" s="2" t="s">
        <v>104</v>
      </c>
      <c r="E101" s="2" t="s">
        <v>105</v>
      </c>
      <c r="F101" s="2" t="n">
        <v>2</v>
      </c>
      <c r="G101" s="8" t="n">
        <v>219.5</v>
      </c>
      <c r="H101" s="8" t="n">
        <v>120</v>
      </c>
      <c r="I101" s="2" t="s">
        <v>84</v>
      </c>
      <c r="J101" s="8" t="n">
        <f aca="false">F101*G101</f>
        <v>439</v>
      </c>
      <c r="K101" s="8" t="n">
        <f aca="false">ROUND(J101*Ipoteze!$B$4,2)</f>
        <v>92.19</v>
      </c>
      <c r="L101" s="8" t="n">
        <f aca="false">J101+K101</f>
        <v>531.19</v>
      </c>
      <c r="M101" s="8" t="n">
        <f aca="false">F101*H101</f>
        <v>240</v>
      </c>
      <c r="N101" s="2" t="n">
        <f aca="false">INDEX(Clienti!$E:$E,MATCH(I101,Clienti!$A:$A,0))</f>
        <v>0</v>
      </c>
      <c r="O101" s="19" t="n">
        <f aca="false">B101+N101</f>
        <v>46230</v>
      </c>
      <c r="P101" s="2" t="str">
        <f aca="false">IF(O101&gt;Ipoteze!$B$11,"Neincasat","Incasat")</f>
        <v>Incasat</v>
      </c>
    </row>
    <row r="102" customFormat="false" ht="15" hidden="false" customHeight="false" outlineLevel="0" collapsed="false">
      <c r="A102" s="2" t="s">
        <v>76</v>
      </c>
      <c r="B102" s="19" t="n">
        <v>46230</v>
      </c>
      <c r="C102" s="2" t="s">
        <v>205</v>
      </c>
      <c r="D102" s="2" t="s">
        <v>94</v>
      </c>
      <c r="E102" s="2" t="s">
        <v>79</v>
      </c>
      <c r="F102" s="2" t="n">
        <v>1</v>
      </c>
      <c r="G102" s="8" t="n">
        <v>49.9</v>
      </c>
      <c r="H102" s="8" t="n">
        <v>19</v>
      </c>
      <c r="I102" s="2" t="s">
        <v>110</v>
      </c>
      <c r="J102" s="8" t="n">
        <f aca="false">F102*G102</f>
        <v>49.9</v>
      </c>
      <c r="K102" s="8" t="n">
        <f aca="false">ROUND(J102*Ipoteze!$B$4,2)</f>
        <v>10.48</v>
      </c>
      <c r="L102" s="8" t="n">
        <f aca="false">J102+K102</f>
        <v>60.38</v>
      </c>
      <c r="M102" s="8" t="n">
        <f aca="false">F102*H102</f>
        <v>19</v>
      </c>
      <c r="N102" s="2" t="n">
        <f aca="false">INDEX(Clienti!$E:$E,MATCH(I102,Clienti!$A:$A,0))</f>
        <v>0</v>
      </c>
      <c r="O102" s="19" t="n">
        <f aca="false">B102+N102</f>
        <v>46230</v>
      </c>
      <c r="P102" s="2" t="str">
        <f aca="false">IF(O102&gt;Ipoteze!$B$11,"Neincasat","Incasat")</f>
        <v>Incasat</v>
      </c>
    </row>
    <row r="103" customFormat="false" ht="15" hidden="false" customHeight="false" outlineLevel="0" collapsed="false">
      <c r="A103" s="2" t="s">
        <v>76</v>
      </c>
      <c r="B103" s="19" t="n">
        <v>46230</v>
      </c>
      <c r="C103" s="2" t="s">
        <v>206</v>
      </c>
      <c r="D103" s="2" t="s">
        <v>78</v>
      </c>
      <c r="E103" s="2" t="s">
        <v>79</v>
      </c>
      <c r="F103" s="2" t="n">
        <v>15</v>
      </c>
      <c r="G103" s="8" t="n">
        <v>169</v>
      </c>
      <c r="H103" s="8" t="n">
        <v>85</v>
      </c>
      <c r="I103" s="2" t="s">
        <v>125</v>
      </c>
      <c r="J103" s="8" t="n">
        <f aca="false">F103*G103</f>
        <v>2535</v>
      </c>
      <c r="K103" s="8" t="n">
        <f aca="false">ROUND(J103*Ipoteze!$B$4,2)</f>
        <v>532.35</v>
      </c>
      <c r="L103" s="8" t="n">
        <f aca="false">J103+K103</f>
        <v>3067.35</v>
      </c>
      <c r="M103" s="8" t="n">
        <f aca="false">F103*H103</f>
        <v>1275</v>
      </c>
      <c r="N103" s="2" t="n">
        <f aca="false">INDEX(Clienti!$E:$E,MATCH(I103,Clienti!$A:$A,0))</f>
        <v>15</v>
      </c>
      <c r="O103" s="19" t="n">
        <f aca="false">B103+N103</f>
        <v>46245</v>
      </c>
      <c r="P103" s="2" t="str">
        <f aca="false">IF(O103&gt;Ipoteze!$B$11,"Neincasat","Incasat")</f>
        <v>Incasat</v>
      </c>
    </row>
    <row r="104" customFormat="false" ht="15" hidden="false" customHeight="false" outlineLevel="0" collapsed="false">
      <c r="A104" s="2" t="s">
        <v>76</v>
      </c>
      <c r="B104" s="19" t="n">
        <v>46230</v>
      </c>
      <c r="C104" s="2" t="s">
        <v>207</v>
      </c>
      <c r="D104" s="2" t="s">
        <v>86</v>
      </c>
      <c r="E104" s="2" t="s">
        <v>87</v>
      </c>
      <c r="F104" s="2" t="n">
        <v>1</v>
      </c>
      <c r="G104" s="8" t="n">
        <v>54.9</v>
      </c>
      <c r="H104" s="8" t="n">
        <v>22</v>
      </c>
      <c r="I104" s="2" t="s">
        <v>92</v>
      </c>
      <c r="J104" s="8" t="n">
        <f aca="false">F104*G104</f>
        <v>54.9</v>
      </c>
      <c r="K104" s="8" t="n">
        <f aca="false">ROUND(J104*Ipoteze!$B$4,2)</f>
        <v>11.53</v>
      </c>
      <c r="L104" s="8" t="n">
        <f aca="false">J104+K104</f>
        <v>66.43</v>
      </c>
      <c r="M104" s="8" t="n">
        <f aca="false">F104*H104</f>
        <v>22</v>
      </c>
      <c r="N104" s="2" t="n">
        <f aca="false">INDEX(Clienti!$E:$E,MATCH(I104,Clienti!$A:$A,0))</f>
        <v>14</v>
      </c>
      <c r="O104" s="19" t="n">
        <f aca="false">B104+N104</f>
        <v>46244</v>
      </c>
      <c r="P104" s="2" t="str">
        <f aca="false">IF(O104&gt;Ipoteze!$B$11,"Neincasat","Incasat")</f>
        <v>Incasat</v>
      </c>
    </row>
    <row r="105" customFormat="false" ht="15" hidden="false" customHeight="false" outlineLevel="0" collapsed="false">
      <c r="A105" s="2" t="s">
        <v>76</v>
      </c>
      <c r="B105" s="19" t="n">
        <v>46231</v>
      </c>
      <c r="C105" s="2" t="s">
        <v>208</v>
      </c>
      <c r="D105" s="2" t="s">
        <v>113</v>
      </c>
      <c r="E105" s="2" t="s">
        <v>114</v>
      </c>
      <c r="F105" s="2" t="n">
        <v>2</v>
      </c>
      <c r="G105" s="8" t="n">
        <v>1199</v>
      </c>
      <c r="H105" s="8" t="n">
        <v>780</v>
      </c>
      <c r="I105" s="2" t="s">
        <v>116</v>
      </c>
      <c r="J105" s="8" t="n">
        <f aca="false">F105*G105</f>
        <v>2398</v>
      </c>
      <c r="K105" s="8" t="n">
        <f aca="false">ROUND(J105*Ipoteze!$B$4,2)</f>
        <v>503.58</v>
      </c>
      <c r="L105" s="8" t="n">
        <f aca="false">J105+K105</f>
        <v>2901.58</v>
      </c>
      <c r="M105" s="8" t="n">
        <f aca="false">F105*H105</f>
        <v>1560</v>
      </c>
      <c r="N105" s="2" t="n">
        <f aca="false">INDEX(Clienti!$E:$E,MATCH(I105,Clienti!$A:$A,0))</f>
        <v>30</v>
      </c>
      <c r="O105" s="19" t="n">
        <f aca="false">B105+N105</f>
        <v>46261</v>
      </c>
      <c r="P105" s="2" t="str">
        <f aca="false">IF(O105&gt;Ipoteze!$B$11,"Neincasat","Incasat")</f>
        <v>Incasat</v>
      </c>
    </row>
    <row r="106" customFormat="false" ht="15" hidden="false" customHeight="false" outlineLevel="0" collapsed="false">
      <c r="A106" s="2" t="s">
        <v>76</v>
      </c>
      <c r="B106" s="19" t="n">
        <v>46231</v>
      </c>
      <c r="C106" s="2" t="s">
        <v>209</v>
      </c>
      <c r="D106" s="2" t="s">
        <v>108</v>
      </c>
      <c r="E106" s="2" t="s">
        <v>83</v>
      </c>
      <c r="F106" s="2" t="n">
        <v>1</v>
      </c>
      <c r="G106" s="8" t="n">
        <v>289</v>
      </c>
      <c r="H106" s="8" t="n">
        <v>160</v>
      </c>
      <c r="I106" s="2" t="s">
        <v>84</v>
      </c>
      <c r="J106" s="8" t="n">
        <f aca="false">F106*G106</f>
        <v>289</v>
      </c>
      <c r="K106" s="8" t="n">
        <f aca="false">ROUND(J106*Ipoteze!$B$4,2)</f>
        <v>60.69</v>
      </c>
      <c r="L106" s="8" t="n">
        <f aca="false">J106+K106</f>
        <v>349.69</v>
      </c>
      <c r="M106" s="8" t="n">
        <f aca="false">F106*H106</f>
        <v>160</v>
      </c>
      <c r="N106" s="2" t="n">
        <f aca="false">INDEX(Clienti!$E:$E,MATCH(I106,Clienti!$A:$A,0))</f>
        <v>0</v>
      </c>
      <c r="O106" s="19" t="n">
        <f aca="false">B106+N106</f>
        <v>46231</v>
      </c>
      <c r="P106" s="2" t="str">
        <f aca="false">IF(O106&gt;Ipoteze!$B$11,"Neincasat","Incasat")</f>
        <v>Incasat</v>
      </c>
    </row>
    <row r="107" customFormat="false" ht="15" hidden="false" customHeight="false" outlineLevel="0" collapsed="false">
      <c r="A107" s="2" t="s">
        <v>76</v>
      </c>
      <c r="B107" s="19" t="n">
        <v>46231</v>
      </c>
      <c r="C107" s="2" t="s">
        <v>210</v>
      </c>
      <c r="D107" s="2" t="s">
        <v>108</v>
      </c>
      <c r="E107" s="2" t="s">
        <v>83</v>
      </c>
      <c r="F107" s="2" t="n">
        <v>12</v>
      </c>
      <c r="G107" s="8" t="n">
        <v>289</v>
      </c>
      <c r="H107" s="8" t="n">
        <v>160</v>
      </c>
      <c r="I107" s="2" t="s">
        <v>99</v>
      </c>
      <c r="J107" s="8" t="n">
        <f aca="false">F107*G107</f>
        <v>3468</v>
      </c>
      <c r="K107" s="8" t="n">
        <f aca="false">ROUND(J107*Ipoteze!$B$4,2)</f>
        <v>728.28</v>
      </c>
      <c r="L107" s="8" t="n">
        <f aca="false">J107+K107</f>
        <v>4196.28</v>
      </c>
      <c r="M107" s="8" t="n">
        <f aca="false">F107*H107</f>
        <v>1920</v>
      </c>
      <c r="N107" s="2" t="n">
        <f aca="false">INDEX(Clienti!$E:$E,MATCH(I107,Clienti!$A:$A,0))</f>
        <v>30</v>
      </c>
      <c r="O107" s="19" t="n">
        <f aca="false">B107+N107</f>
        <v>46261</v>
      </c>
      <c r="P107" s="2" t="str">
        <f aca="false">IF(O107&gt;Ipoteze!$B$11,"Neincasat","Incasat")</f>
        <v>Incasat</v>
      </c>
    </row>
    <row r="108" customFormat="false" ht="15" hidden="false" customHeight="false" outlineLevel="0" collapsed="false">
      <c r="A108" s="2" t="s">
        <v>76</v>
      </c>
      <c r="B108" s="19" t="n">
        <v>46231</v>
      </c>
      <c r="C108" s="2" t="s">
        <v>211</v>
      </c>
      <c r="D108" s="2" t="s">
        <v>124</v>
      </c>
      <c r="E108" s="2" t="s">
        <v>98</v>
      </c>
      <c r="F108" s="2" t="n">
        <v>1</v>
      </c>
      <c r="G108" s="8" t="n">
        <v>39.9</v>
      </c>
      <c r="H108" s="8" t="n">
        <v>18</v>
      </c>
      <c r="I108" s="2" t="s">
        <v>92</v>
      </c>
      <c r="J108" s="8" t="n">
        <f aca="false">F108*G108</f>
        <v>39.9</v>
      </c>
      <c r="K108" s="8" t="n">
        <f aca="false">ROUND(J108*Ipoteze!$B$4,2)</f>
        <v>8.38</v>
      </c>
      <c r="L108" s="8" t="n">
        <f aca="false">J108+K108</f>
        <v>48.28</v>
      </c>
      <c r="M108" s="8" t="n">
        <f aca="false">F108*H108</f>
        <v>18</v>
      </c>
      <c r="N108" s="2" t="n">
        <f aca="false">INDEX(Clienti!$E:$E,MATCH(I108,Clienti!$A:$A,0))</f>
        <v>14</v>
      </c>
      <c r="O108" s="19" t="n">
        <f aca="false">B108+N108</f>
        <v>46245</v>
      </c>
      <c r="P108" s="2" t="str">
        <f aca="false">IF(O108&gt;Ipoteze!$B$11,"Neincasat","Incasat")</f>
        <v>Incasat</v>
      </c>
    </row>
    <row r="109" customFormat="false" ht="15" hidden="false" customHeight="false" outlineLevel="0" collapsed="false">
      <c r="A109" s="2" t="s">
        <v>76</v>
      </c>
      <c r="B109" s="19" t="n">
        <v>46232</v>
      </c>
      <c r="C109" s="2" t="s">
        <v>212</v>
      </c>
      <c r="D109" s="2" t="s">
        <v>82</v>
      </c>
      <c r="E109" s="2" t="s">
        <v>83</v>
      </c>
      <c r="F109" s="2" t="n">
        <v>12</v>
      </c>
      <c r="G109" s="8" t="n">
        <v>79.99</v>
      </c>
      <c r="H109" s="8" t="n">
        <v>45</v>
      </c>
      <c r="I109" s="2" t="s">
        <v>125</v>
      </c>
      <c r="J109" s="8" t="n">
        <f aca="false">F109*G109</f>
        <v>959.88</v>
      </c>
      <c r="K109" s="8" t="n">
        <f aca="false">ROUND(J109*Ipoteze!$B$4,2)</f>
        <v>201.57</v>
      </c>
      <c r="L109" s="8" t="n">
        <f aca="false">J109+K109</f>
        <v>1161.45</v>
      </c>
      <c r="M109" s="8" t="n">
        <f aca="false">F109*H109</f>
        <v>540</v>
      </c>
      <c r="N109" s="2" t="n">
        <f aca="false">INDEX(Clienti!$E:$E,MATCH(I109,Clienti!$A:$A,0))</f>
        <v>15</v>
      </c>
      <c r="O109" s="19" t="n">
        <f aca="false">B109+N109</f>
        <v>46247</v>
      </c>
      <c r="P109" s="2" t="str">
        <f aca="false">IF(O109&gt;Ipoteze!$B$11,"Neincasat","Incasat")</f>
        <v>Incasat</v>
      </c>
    </row>
    <row r="110" customFormat="false" ht="15" hidden="false" customHeight="false" outlineLevel="0" collapsed="false">
      <c r="A110" s="2" t="s">
        <v>76</v>
      </c>
      <c r="B110" s="19" t="n">
        <v>46232</v>
      </c>
      <c r="C110" s="2" t="s">
        <v>213</v>
      </c>
      <c r="D110" s="2" t="s">
        <v>94</v>
      </c>
      <c r="E110" s="2" t="s">
        <v>79</v>
      </c>
      <c r="F110" s="2" t="n">
        <v>2</v>
      </c>
      <c r="G110" s="8" t="n">
        <v>49.9</v>
      </c>
      <c r="H110" s="8" t="n">
        <v>19</v>
      </c>
      <c r="I110" s="2" t="s">
        <v>92</v>
      </c>
      <c r="J110" s="8" t="n">
        <f aca="false">F110*G110</f>
        <v>99.8</v>
      </c>
      <c r="K110" s="8" t="n">
        <f aca="false">ROUND(J110*Ipoteze!$B$4,2)</f>
        <v>20.96</v>
      </c>
      <c r="L110" s="8" t="n">
        <f aca="false">J110+K110</f>
        <v>120.76</v>
      </c>
      <c r="M110" s="8" t="n">
        <f aca="false">F110*H110</f>
        <v>38</v>
      </c>
      <c r="N110" s="2" t="n">
        <f aca="false">INDEX(Clienti!$E:$E,MATCH(I110,Clienti!$A:$A,0))</f>
        <v>14</v>
      </c>
      <c r="O110" s="19" t="n">
        <f aca="false">B110+N110</f>
        <v>46246</v>
      </c>
      <c r="P110" s="2" t="str">
        <f aca="false">IF(O110&gt;Ipoteze!$B$11,"Neincasat","Incasat")</f>
        <v>Incasat</v>
      </c>
    </row>
    <row r="111" customFormat="false" ht="15" hidden="false" customHeight="false" outlineLevel="0" collapsed="false">
      <c r="A111" s="2" t="s">
        <v>76</v>
      </c>
      <c r="B111" s="19" t="n">
        <v>46232</v>
      </c>
      <c r="C111" s="2" t="s">
        <v>214</v>
      </c>
      <c r="D111" s="2" t="s">
        <v>94</v>
      </c>
      <c r="E111" s="2" t="s">
        <v>79</v>
      </c>
      <c r="F111" s="2" t="n">
        <v>1</v>
      </c>
      <c r="G111" s="8" t="n">
        <v>49.9</v>
      </c>
      <c r="H111" s="8" t="n">
        <v>19</v>
      </c>
      <c r="I111" s="2" t="s">
        <v>84</v>
      </c>
      <c r="J111" s="8" t="n">
        <f aca="false">F111*G111</f>
        <v>49.9</v>
      </c>
      <c r="K111" s="8" t="n">
        <f aca="false">ROUND(J111*Ipoteze!$B$4,2)</f>
        <v>10.48</v>
      </c>
      <c r="L111" s="8" t="n">
        <f aca="false">J111+K111</f>
        <v>60.38</v>
      </c>
      <c r="M111" s="8" t="n">
        <f aca="false">F111*H111</f>
        <v>19</v>
      </c>
      <c r="N111" s="2" t="n">
        <f aca="false">INDEX(Clienti!$E:$E,MATCH(I111,Clienti!$A:$A,0))</f>
        <v>0</v>
      </c>
      <c r="O111" s="19" t="n">
        <f aca="false">B111+N111</f>
        <v>46232</v>
      </c>
      <c r="P111" s="2" t="str">
        <f aca="false">IF(O111&gt;Ipoteze!$B$11,"Neincasat","Incasat")</f>
        <v>Incasat</v>
      </c>
    </row>
    <row r="112" customFormat="false" ht="15" hidden="false" customHeight="false" outlineLevel="0" collapsed="false">
      <c r="A112" s="2" t="s">
        <v>76</v>
      </c>
      <c r="B112" s="19" t="n">
        <v>46232</v>
      </c>
      <c r="C112" s="2" t="s">
        <v>215</v>
      </c>
      <c r="D112" s="2" t="s">
        <v>101</v>
      </c>
      <c r="E112" s="2" t="s">
        <v>79</v>
      </c>
      <c r="F112" s="2" t="n">
        <v>19</v>
      </c>
      <c r="G112" s="8" t="n">
        <v>149</v>
      </c>
      <c r="H112" s="8" t="n">
        <v>75</v>
      </c>
      <c r="I112" s="2" t="s">
        <v>99</v>
      </c>
      <c r="J112" s="8" t="n">
        <f aca="false">F112*G112</f>
        <v>2831</v>
      </c>
      <c r="K112" s="8" t="n">
        <f aca="false">ROUND(J112*Ipoteze!$B$4,2)</f>
        <v>594.51</v>
      </c>
      <c r="L112" s="8" t="n">
        <f aca="false">J112+K112</f>
        <v>3425.51</v>
      </c>
      <c r="M112" s="8" t="n">
        <f aca="false">F112*H112</f>
        <v>1425</v>
      </c>
      <c r="N112" s="2" t="n">
        <f aca="false">INDEX(Clienti!$E:$E,MATCH(I112,Clienti!$A:$A,0))</f>
        <v>30</v>
      </c>
      <c r="O112" s="19" t="n">
        <f aca="false">B112+N112</f>
        <v>46262</v>
      </c>
      <c r="P112" s="2" t="str">
        <f aca="false">IF(O112&gt;Ipoteze!$B$11,"Neincasat","Incasat")</f>
        <v>Incasat</v>
      </c>
    </row>
    <row r="113" customFormat="false" ht="15" hidden="false" customHeight="false" outlineLevel="0" collapsed="false">
      <c r="A113" s="2" t="s">
        <v>76</v>
      </c>
      <c r="B113" s="19" t="n">
        <v>46233</v>
      </c>
      <c r="C113" s="2" t="s">
        <v>216</v>
      </c>
      <c r="D113" s="2" t="s">
        <v>108</v>
      </c>
      <c r="E113" s="2" t="s">
        <v>83</v>
      </c>
      <c r="F113" s="2" t="n">
        <v>1</v>
      </c>
      <c r="G113" s="8" t="n">
        <v>289</v>
      </c>
      <c r="H113" s="8" t="n">
        <v>160</v>
      </c>
      <c r="I113" s="2" t="s">
        <v>84</v>
      </c>
      <c r="J113" s="8" t="n">
        <f aca="false">F113*G113</f>
        <v>289</v>
      </c>
      <c r="K113" s="8" t="n">
        <f aca="false">ROUND(J113*Ipoteze!$B$4,2)</f>
        <v>60.69</v>
      </c>
      <c r="L113" s="8" t="n">
        <f aca="false">J113+K113</f>
        <v>349.69</v>
      </c>
      <c r="M113" s="8" t="n">
        <f aca="false">F113*H113</f>
        <v>160</v>
      </c>
      <c r="N113" s="2" t="n">
        <f aca="false">INDEX(Clienti!$E:$E,MATCH(I113,Clienti!$A:$A,0))</f>
        <v>0</v>
      </c>
      <c r="O113" s="19" t="n">
        <f aca="false">B113+N113</f>
        <v>46233</v>
      </c>
      <c r="P113" s="2" t="str">
        <f aca="false">IF(O113&gt;Ipoteze!$B$11,"Neincasat","Incasat")</f>
        <v>Incasat</v>
      </c>
    </row>
    <row r="114" customFormat="false" ht="15" hidden="false" customHeight="false" outlineLevel="0" collapsed="false">
      <c r="A114" s="2" t="s">
        <v>76</v>
      </c>
      <c r="B114" s="19" t="n">
        <v>46233</v>
      </c>
      <c r="C114" s="2" t="s">
        <v>217</v>
      </c>
      <c r="D114" s="2" t="s">
        <v>97</v>
      </c>
      <c r="E114" s="2" t="s">
        <v>98</v>
      </c>
      <c r="F114" s="2" t="n">
        <v>2</v>
      </c>
      <c r="G114" s="8" t="n">
        <v>449</v>
      </c>
      <c r="H114" s="8" t="n">
        <v>290</v>
      </c>
      <c r="I114" s="2" t="s">
        <v>84</v>
      </c>
      <c r="J114" s="8" t="n">
        <f aca="false">F114*G114</f>
        <v>898</v>
      </c>
      <c r="K114" s="8" t="n">
        <f aca="false">ROUND(J114*Ipoteze!$B$4,2)</f>
        <v>188.58</v>
      </c>
      <c r="L114" s="8" t="n">
        <f aca="false">J114+K114</f>
        <v>1086.58</v>
      </c>
      <c r="M114" s="8" t="n">
        <f aca="false">F114*H114</f>
        <v>580</v>
      </c>
      <c r="N114" s="2" t="n">
        <f aca="false">INDEX(Clienti!$E:$E,MATCH(I114,Clienti!$A:$A,0))</f>
        <v>0</v>
      </c>
      <c r="O114" s="19" t="n">
        <f aca="false">B114+N114</f>
        <v>46233</v>
      </c>
      <c r="P114" s="2" t="str">
        <f aca="false">IF(O114&gt;Ipoteze!$B$11,"Neincasat","Incasat")</f>
        <v>Incasat</v>
      </c>
    </row>
    <row r="115" customFormat="false" ht="15" hidden="false" customHeight="false" outlineLevel="0" collapsed="false">
      <c r="A115" s="2" t="s">
        <v>76</v>
      </c>
      <c r="B115" s="19" t="n">
        <v>46233</v>
      </c>
      <c r="C115" s="2" t="s">
        <v>218</v>
      </c>
      <c r="D115" s="2" t="s">
        <v>130</v>
      </c>
      <c r="E115" s="2" t="s">
        <v>83</v>
      </c>
      <c r="F115" s="2" t="n">
        <v>19</v>
      </c>
      <c r="G115" s="8" t="n">
        <v>349</v>
      </c>
      <c r="H115" s="8" t="n">
        <v>190</v>
      </c>
      <c r="I115" s="2" t="s">
        <v>116</v>
      </c>
      <c r="J115" s="8" t="n">
        <f aca="false">F115*G115</f>
        <v>6631</v>
      </c>
      <c r="K115" s="8" t="n">
        <f aca="false">ROUND(J115*Ipoteze!$B$4,2)</f>
        <v>1392.51</v>
      </c>
      <c r="L115" s="8" t="n">
        <f aca="false">J115+K115</f>
        <v>8023.51</v>
      </c>
      <c r="M115" s="8" t="n">
        <f aca="false">F115*H115</f>
        <v>3610</v>
      </c>
      <c r="N115" s="2" t="n">
        <f aca="false">INDEX(Clienti!$E:$E,MATCH(I115,Clienti!$A:$A,0))</f>
        <v>30</v>
      </c>
      <c r="O115" s="19" t="n">
        <f aca="false">B115+N115</f>
        <v>46263</v>
      </c>
      <c r="P115" s="2" t="str">
        <f aca="false">IF(O115&gt;Ipoteze!$B$11,"Neincasat","Incasat")</f>
        <v>Incasat</v>
      </c>
    </row>
    <row r="116" customFormat="false" ht="15" hidden="false" customHeight="false" outlineLevel="0" collapsed="false">
      <c r="A116" s="2" t="s">
        <v>76</v>
      </c>
      <c r="B116" s="19" t="n">
        <v>46233</v>
      </c>
      <c r="C116" s="2" t="s">
        <v>219</v>
      </c>
      <c r="D116" s="2" t="s">
        <v>97</v>
      </c>
      <c r="E116" s="2" t="s">
        <v>98</v>
      </c>
      <c r="F116" s="2" t="n">
        <v>1</v>
      </c>
      <c r="G116" s="8" t="n">
        <v>449</v>
      </c>
      <c r="H116" s="8" t="n">
        <v>290</v>
      </c>
      <c r="I116" s="2" t="s">
        <v>110</v>
      </c>
      <c r="J116" s="8" t="n">
        <f aca="false">F116*G116</f>
        <v>449</v>
      </c>
      <c r="K116" s="8" t="n">
        <f aca="false">ROUND(J116*Ipoteze!$B$4,2)</f>
        <v>94.29</v>
      </c>
      <c r="L116" s="8" t="n">
        <f aca="false">J116+K116</f>
        <v>543.29</v>
      </c>
      <c r="M116" s="8" t="n">
        <f aca="false">F116*H116</f>
        <v>290</v>
      </c>
      <c r="N116" s="2" t="n">
        <f aca="false">INDEX(Clienti!$E:$E,MATCH(I116,Clienti!$A:$A,0))</f>
        <v>0</v>
      </c>
      <c r="O116" s="19" t="n">
        <f aca="false">B116+N116</f>
        <v>46233</v>
      </c>
      <c r="P116" s="2" t="str">
        <f aca="false">IF(O116&gt;Ipoteze!$B$11,"Neincasat","Incasat")</f>
        <v>Incasat</v>
      </c>
    </row>
    <row r="117" customFormat="false" ht="15" hidden="false" customHeight="false" outlineLevel="0" collapsed="false">
      <c r="A117" s="2" t="s">
        <v>76</v>
      </c>
      <c r="B117" s="19" t="n">
        <v>46234</v>
      </c>
      <c r="C117" s="2" t="s">
        <v>220</v>
      </c>
      <c r="D117" s="2" t="s">
        <v>108</v>
      </c>
      <c r="E117" s="2" t="s">
        <v>83</v>
      </c>
      <c r="F117" s="2" t="n">
        <v>20</v>
      </c>
      <c r="G117" s="8" t="n">
        <v>289</v>
      </c>
      <c r="H117" s="8" t="n">
        <v>160</v>
      </c>
      <c r="I117" s="2" t="s">
        <v>116</v>
      </c>
      <c r="J117" s="8" t="n">
        <f aca="false">F117*G117</f>
        <v>5780</v>
      </c>
      <c r="K117" s="8" t="n">
        <f aca="false">ROUND(J117*Ipoteze!$B$4,2)</f>
        <v>1213.8</v>
      </c>
      <c r="L117" s="8" t="n">
        <f aca="false">J117+K117</f>
        <v>6993.8</v>
      </c>
      <c r="M117" s="8" t="n">
        <f aca="false">F117*H117</f>
        <v>3200</v>
      </c>
      <c r="N117" s="2" t="n">
        <f aca="false">INDEX(Clienti!$E:$E,MATCH(I117,Clienti!$A:$A,0))</f>
        <v>30</v>
      </c>
      <c r="O117" s="19" t="n">
        <f aca="false">B117+N117</f>
        <v>46264</v>
      </c>
      <c r="P117" s="2" t="str">
        <f aca="false">IF(O117&gt;Ipoteze!$B$11,"Neincasat","Incasat")</f>
        <v>Incasat</v>
      </c>
    </row>
    <row r="118" customFormat="false" ht="15" hidden="false" customHeight="false" outlineLevel="0" collapsed="false">
      <c r="A118" s="2" t="s">
        <v>76</v>
      </c>
      <c r="B118" s="19" t="n">
        <v>46234</v>
      </c>
      <c r="C118" s="2" t="s">
        <v>221</v>
      </c>
      <c r="D118" s="2" t="s">
        <v>89</v>
      </c>
      <c r="E118" s="2" t="s">
        <v>87</v>
      </c>
      <c r="F118" s="2" t="n">
        <v>14</v>
      </c>
      <c r="G118" s="8" t="n">
        <v>29.99</v>
      </c>
      <c r="H118" s="8" t="n">
        <v>9</v>
      </c>
      <c r="I118" s="2" t="s">
        <v>99</v>
      </c>
      <c r="J118" s="8" t="n">
        <f aca="false">F118*G118</f>
        <v>419.86</v>
      </c>
      <c r="K118" s="8" t="n">
        <f aca="false">ROUND(J118*Ipoteze!$B$4,2)</f>
        <v>88.17</v>
      </c>
      <c r="L118" s="8" t="n">
        <f aca="false">J118+K118</f>
        <v>508.03</v>
      </c>
      <c r="M118" s="8" t="n">
        <f aca="false">F118*H118</f>
        <v>126</v>
      </c>
      <c r="N118" s="2" t="n">
        <f aca="false">INDEX(Clienti!$E:$E,MATCH(I118,Clienti!$A:$A,0))</f>
        <v>30</v>
      </c>
      <c r="O118" s="19" t="n">
        <f aca="false">B118+N118</f>
        <v>46264</v>
      </c>
      <c r="P118" s="2" t="str">
        <f aca="false">IF(O118&gt;Ipoteze!$B$11,"Neincasat","Incasat")</f>
        <v>Incasat</v>
      </c>
    </row>
    <row r="119" customFormat="false" ht="15" hidden="false" customHeight="false" outlineLevel="0" collapsed="false">
      <c r="A119" s="2" t="s">
        <v>76</v>
      </c>
      <c r="B119" s="19" t="n">
        <v>46234</v>
      </c>
      <c r="C119" s="2" t="s">
        <v>222</v>
      </c>
      <c r="D119" s="2" t="s">
        <v>91</v>
      </c>
      <c r="E119" s="2" t="s">
        <v>79</v>
      </c>
      <c r="F119" s="2" t="n">
        <v>7</v>
      </c>
      <c r="G119" s="8" t="n">
        <v>99</v>
      </c>
      <c r="H119" s="8" t="n">
        <v>48</v>
      </c>
      <c r="I119" s="2" t="s">
        <v>116</v>
      </c>
      <c r="J119" s="8" t="n">
        <f aca="false">F119*G119</f>
        <v>693</v>
      </c>
      <c r="K119" s="8" t="n">
        <f aca="false">ROUND(J119*Ipoteze!$B$4,2)</f>
        <v>145.53</v>
      </c>
      <c r="L119" s="8" t="n">
        <f aca="false">J119+K119</f>
        <v>838.53</v>
      </c>
      <c r="M119" s="8" t="n">
        <f aca="false">F119*H119</f>
        <v>336</v>
      </c>
      <c r="N119" s="2" t="n">
        <f aca="false">INDEX(Clienti!$E:$E,MATCH(I119,Clienti!$A:$A,0))</f>
        <v>30</v>
      </c>
      <c r="O119" s="19" t="n">
        <f aca="false">B119+N119</f>
        <v>46264</v>
      </c>
      <c r="P119" s="2" t="str">
        <f aca="false">IF(O119&gt;Ipoteze!$B$11,"Neincasat","Incasat")</f>
        <v>Incasat</v>
      </c>
    </row>
    <row r="120" customFormat="false" ht="15" hidden="false" customHeight="false" outlineLevel="0" collapsed="false">
      <c r="A120" s="2" t="s">
        <v>76</v>
      </c>
      <c r="B120" s="19" t="n">
        <v>46234</v>
      </c>
      <c r="C120" s="2" t="s">
        <v>223</v>
      </c>
      <c r="D120" s="2" t="s">
        <v>101</v>
      </c>
      <c r="E120" s="2" t="s">
        <v>79</v>
      </c>
      <c r="F120" s="2" t="n">
        <v>11</v>
      </c>
      <c r="G120" s="8" t="n">
        <v>149</v>
      </c>
      <c r="H120" s="8" t="n">
        <v>75</v>
      </c>
      <c r="I120" s="2" t="s">
        <v>80</v>
      </c>
      <c r="J120" s="8" t="n">
        <f aca="false">F120*G120</f>
        <v>1639</v>
      </c>
      <c r="K120" s="8" t="n">
        <f aca="false">ROUND(J120*Ipoteze!$B$4,2)</f>
        <v>344.19</v>
      </c>
      <c r="L120" s="8" t="n">
        <f aca="false">J120+K120</f>
        <v>1983.19</v>
      </c>
      <c r="M120" s="8" t="n">
        <f aca="false">F120*H120</f>
        <v>825</v>
      </c>
      <c r="N120" s="2" t="n">
        <f aca="false">INDEX(Clienti!$E:$E,MATCH(I120,Clienti!$A:$A,0))</f>
        <v>15</v>
      </c>
      <c r="O120" s="19" t="n">
        <f aca="false">B120+N120</f>
        <v>46249</v>
      </c>
      <c r="P120" s="2" t="str">
        <f aca="false">IF(O120&gt;Ipoteze!$B$11,"Neincasat","Incasat")</f>
        <v>Incasat</v>
      </c>
    </row>
    <row r="121" customFormat="false" ht="15" hidden="false" customHeight="false" outlineLevel="0" collapsed="false">
      <c r="A121" s="2" t="s">
        <v>224</v>
      </c>
      <c r="B121" s="19" t="n">
        <v>46235</v>
      </c>
      <c r="C121" s="2" t="s">
        <v>225</v>
      </c>
      <c r="D121" s="2" t="s">
        <v>104</v>
      </c>
      <c r="E121" s="2" t="s">
        <v>105</v>
      </c>
      <c r="F121" s="2" t="n">
        <v>18</v>
      </c>
      <c r="G121" s="8" t="n">
        <v>219.5</v>
      </c>
      <c r="H121" s="8" t="n">
        <v>120</v>
      </c>
      <c r="I121" s="2" t="s">
        <v>125</v>
      </c>
      <c r="J121" s="8" t="n">
        <f aca="false">F121*G121</f>
        <v>3951</v>
      </c>
      <c r="K121" s="8" t="n">
        <f aca="false">ROUND(J121*Ipoteze!$B$4,2)</f>
        <v>829.71</v>
      </c>
      <c r="L121" s="8" t="n">
        <f aca="false">J121+K121</f>
        <v>4780.71</v>
      </c>
      <c r="M121" s="8" t="n">
        <f aca="false">F121*H121</f>
        <v>2160</v>
      </c>
      <c r="N121" s="2" t="n">
        <f aca="false">INDEX(Clienti!$E:$E,MATCH(I121,Clienti!$A:$A,0))</f>
        <v>15</v>
      </c>
      <c r="O121" s="19" t="n">
        <f aca="false">B121+N121</f>
        <v>46250</v>
      </c>
      <c r="P121" s="2" t="str">
        <f aca="false">IF(O121&gt;Ipoteze!$B$11,"Neincasat","Incasat")</f>
        <v>Incasat</v>
      </c>
    </row>
    <row r="122" customFormat="false" ht="15" hidden="false" customHeight="false" outlineLevel="0" collapsed="false">
      <c r="A122" s="2" t="s">
        <v>224</v>
      </c>
      <c r="B122" s="19" t="n">
        <v>46235</v>
      </c>
      <c r="C122" s="2" t="s">
        <v>226</v>
      </c>
      <c r="D122" s="2" t="s">
        <v>101</v>
      </c>
      <c r="E122" s="2" t="s">
        <v>79</v>
      </c>
      <c r="F122" s="2" t="n">
        <v>3</v>
      </c>
      <c r="G122" s="8" t="n">
        <v>149</v>
      </c>
      <c r="H122" s="8" t="n">
        <v>75</v>
      </c>
      <c r="I122" s="2" t="s">
        <v>110</v>
      </c>
      <c r="J122" s="8" t="n">
        <f aca="false">F122*G122</f>
        <v>447</v>
      </c>
      <c r="K122" s="8" t="n">
        <f aca="false">ROUND(J122*Ipoteze!$B$4,2)</f>
        <v>93.87</v>
      </c>
      <c r="L122" s="8" t="n">
        <f aca="false">J122+K122</f>
        <v>540.87</v>
      </c>
      <c r="M122" s="8" t="n">
        <f aca="false">F122*H122</f>
        <v>225</v>
      </c>
      <c r="N122" s="2" t="n">
        <f aca="false">INDEX(Clienti!$E:$E,MATCH(I122,Clienti!$A:$A,0))</f>
        <v>0</v>
      </c>
      <c r="O122" s="19" t="n">
        <f aca="false">B122+N122</f>
        <v>46235</v>
      </c>
      <c r="P122" s="2" t="str">
        <f aca="false">IF(O122&gt;Ipoteze!$B$11,"Neincasat","Incasat")</f>
        <v>Incasat</v>
      </c>
    </row>
    <row r="123" customFormat="false" ht="15" hidden="false" customHeight="false" outlineLevel="0" collapsed="false">
      <c r="A123" s="2" t="s">
        <v>224</v>
      </c>
      <c r="B123" s="19" t="n">
        <v>46235</v>
      </c>
      <c r="C123" s="2" t="s">
        <v>227</v>
      </c>
      <c r="D123" s="2" t="s">
        <v>89</v>
      </c>
      <c r="E123" s="2" t="s">
        <v>87</v>
      </c>
      <c r="F123" s="2" t="n">
        <v>1</v>
      </c>
      <c r="G123" s="8" t="n">
        <v>29.99</v>
      </c>
      <c r="H123" s="8" t="n">
        <v>9</v>
      </c>
      <c r="I123" s="2" t="s">
        <v>84</v>
      </c>
      <c r="J123" s="8" t="n">
        <f aca="false">F123*G123</f>
        <v>29.99</v>
      </c>
      <c r="K123" s="8" t="n">
        <f aca="false">ROUND(J123*Ipoteze!$B$4,2)</f>
        <v>6.3</v>
      </c>
      <c r="L123" s="8" t="n">
        <f aca="false">J123+K123</f>
        <v>36.29</v>
      </c>
      <c r="M123" s="8" t="n">
        <f aca="false">F123*H123</f>
        <v>9</v>
      </c>
      <c r="N123" s="2" t="n">
        <f aca="false">INDEX(Clienti!$E:$E,MATCH(I123,Clienti!$A:$A,0))</f>
        <v>0</v>
      </c>
      <c r="O123" s="19" t="n">
        <f aca="false">B123+N123</f>
        <v>46235</v>
      </c>
      <c r="P123" s="2" t="str">
        <f aca="false">IF(O123&gt;Ipoteze!$B$11,"Neincasat","Incasat")</f>
        <v>Incasat</v>
      </c>
    </row>
    <row r="124" customFormat="false" ht="15" hidden="false" customHeight="false" outlineLevel="0" collapsed="false">
      <c r="A124" s="2" t="s">
        <v>224</v>
      </c>
      <c r="B124" s="19" t="n">
        <v>46237</v>
      </c>
      <c r="C124" s="2" t="s">
        <v>228</v>
      </c>
      <c r="D124" s="2" t="s">
        <v>97</v>
      </c>
      <c r="E124" s="2" t="s">
        <v>98</v>
      </c>
      <c r="F124" s="2" t="n">
        <v>18</v>
      </c>
      <c r="G124" s="8" t="n">
        <v>449</v>
      </c>
      <c r="H124" s="8" t="n">
        <v>290</v>
      </c>
      <c r="I124" s="2" t="s">
        <v>125</v>
      </c>
      <c r="J124" s="8" t="n">
        <f aca="false">F124*G124</f>
        <v>8082</v>
      </c>
      <c r="K124" s="8" t="n">
        <f aca="false">ROUND(J124*Ipoteze!$B$4,2)</f>
        <v>1697.22</v>
      </c>
      <c r="L124" s="8" t="n">
        <f aca="false">J124+K124</f>
        <v>9779.22</v>
      </c>
      <c r="M124" s="8" t="n">
        <f aca="false">F124*H124</f>
        <v>5220</v>
      </c>
      <c r="N124" s="2" t="n">
        <f aca="false">INDEX(Clienti!$E:$E,MATCH(I124,Clienti!$A:$A,0))</f>
        <v>15</v>
      </c>
      <c r="O124" s="19" t="n">
        <f aca="false">B124+N124</f>
        <v>46252</v>
      </c>
      <c r="P124" s="2" t="str">
        <f aca="false">IF(O124&gt;Ipoteze!$B$11,"Neincasat","Incasat")</f>
        <v>Incasat</v>
      </c>
    </row>
    <row r="125" customFormat="false" ht="15" hidden="false" customHeight="false" outlineLevel="0" collapsed="false">
      <c r="A125" s="2" t="s">
        <v>224</v>
      </c>
      <c r="B125" s="19" t="n">
        <v>46237</v>
      </c>
      <c r="C125" s="2" t="s">
        <v>229</v>
      </c>
      <c r="D125" s="2" t="s">
        <v>89</v>
      </c>
      <c r="E125" s="2" t="s">
        <v>87</v>
      </c>
      <c r="F125" s="2" t="n">
        <v>2</v>
      </c>
      <c r="G125" s="8" t="n">
        <v>29.99</v>
      </c>
      <c r="H125" s="8" t="n">
        <v>9</v>
      </c>
      <c r="I125" s="2" t="s">
        <v>84</v>
      </c>
      <c r="J125" s="8" t="n">
        <f aca="false">F125*G125</f>
        <v>59.98</v>
      </c>
      <c r="K125" s="8" t="n">
        <f aca="false">ROUND(J125*Ipoteze!$B$4,2)</f>
        <v>12.6</v>
      </c>
      <c r="L125" s="8" t="n">
        <f aca="false">J125+K125</f>
        <v>72.58</v>
      </c>
      <c r="M125" s="8" t="n">
        <f aca="false">F125*H125</f>
        <v>18</v>
      </c>
      <c r="N125" s="2" t="n">
        <f aca="false">INDEX(Clienti!$E:$E,MATCH(I125,Clienti!$A:$A,0))</f>
        <v>0</v>
      </c>
      <c r="O125" s="19" t="n">
        <f aca="false">B125+N125</f>
        <v>46237</v>
      </c>
      <c r="P125" s="2" t="str">
        <f aca="false">IF(O125&gt;Ipoteze!$B$11,"Neincasat","Incasat")</f>
        <v>Incasat</v>
      </c>
    </row>
    <row r="126" customFormat="false" ht="15" hidden="false" customHeight="false" outlineLevel="0" collapsed="false">
      <c r="A126" s="2" t="s">
        <v>224</v>
      </c>
      <c r="B126" s="19" t="n">
        <v>46237</v>
      </c>
      <c r="C126" s="2" t="s">
        <v>230</v>
      </c>
      <c r="D126" s="2" t="s">
        <v>86</v>
      </c>
      <c r="E126" s="2" t="s">
        <v>87</v>
      </c>
      <c r="F126" s="2" t="n">
        <v>5</v>
      </c>
      <c r="G126" s="8" t="n">
        <v>54.9</v>
      </c>
      <c r="H126" s="8" t="n">
        <v>22</v>
      </c>
      <c r="I126" s="2" t="s">
        <v>125</v>
      </c>
      <c r="J126" s="8" t="n">
        <f aca="false">F126*G126</f>
        <v>274.5</v>
      </c>
      <c r="K126" s="8" t="n">
        <f aca="false">ROUND(J126*Ipoteze!$B$4,2)</f>
        <v>57.65</v>
      </c>
      <c r="L126" s="8" t="n">
        <f aca="false">J126+K126</f>
        <v>332.15</v>
      </c>
      <c r="M126" s="8" t="n">
        <f aca="false">F126*H126</f>
        <v>110</v>
      </c>
      <c r="N126" s="2" t="n">
        <f aca="false">INDEX(Clienti!$E:$E,MATCH(I126,Clienti!$A:$A,0))</f>
        <v>15</v>
      </c>
      <c r="O126" s="19" t="n">
        <f aca="false">B126+N126</f>
        <v>46252</v>
      </c>
      <c r="P126" s="2" t="str">
        <f aca="false">IF(O126&gt;Ipoteze!$B$11,"Neincasat","Incasat")</f>
        <v>Incasat</v>
      </c>
    </row>
    <row r="127" customFormat="false" ht="15" hidden="false" customHeight="false" outlineLevel="0" collapsed="false">
      <c r="A127" s="2" t="s">
        <v>224</v>
      </c>
      <c r="B127" s="19" t="n">
        <v>46238</v>
      </c>
      <c r="C127" s="2" t="s">
        <v>231</v>
      </c>
      <c r="D127" s="2" t="s">
        <v>134</v>
      </c>
      <c r="E127" s="2" t="s">
        <v>105</v>
      </c>
      <c r="F127" s="2" t="n">
        <v>2</v>
      </c>
      <c r="G127" s="8" t="n">
        <v>129.9</v>
      </c>
      <c r="H127" s="8" t="n">
        <v>70</v>
      </c>
      <c r="I127" s="2" t="s">
        <v>110</v>
      </c>
      <c r="J127" s="8" t="n">
        <f aca="false">F127*G127</f>
        <v>259.8</v>
      </c>
      <c r="K127" s="8" t="n">
        <f aca="false">ROUND(J127*Ipoteze!$B$4,2)</f>
        <v>54.56</v>
      </c>
      <c r="L127" s="8" t="n">
        <f aca="false">J127+K127</f>
        <v>314.36</v>
      </c>
      <c r="M127" s="8" t="n">
        <f aca="false">F127*H127</f>
        <v>140</v>
      </c>
      <c r="N127" s="2" t="n">
        <f aca="false">INDEX(Clienti!$E:$E,MATCH(I127,Clienti!$A:$A,0))</f>
        <v>0</v>
      </c>
      <c r="O127" s="19" t="n">
        <f aca="false">B127+N127</f>
        <v>46238</v>
      </c>
      <c r="P127" s="2" t="str">
        <f aca="false">IF(O127&gt;Ipoteze!$B$11,"Neincasat","Incasat")</f>
        <v>Incasat</v>
      </c>
    </row>
    <row r="128" customFormat="false" ht="15" hidden="false" customHeight="false" outlineLevel="0" collapsed="false">
      <c r="A128" s="2" t="s">
        <v>224</v>
      </c>
      <c r="B128" s="19" t="n">
        <v>46238</v>
      </c>
      <c r="C128" s="2" t="s">
        <v>232</v>
      </c>
      <c r="D128" s="2" t="s">
        <v>108</v>
      </c>
      <c r="E128" s="2" t="s">
        <v>83</v>
      </c>
      <c r="F128" s="2" t="n">
        <v>1</v>
      </c>
      <c r="G128" s="8" t="n">
        <v>289</v>
      </c>
      <c r="H128" s="8" t="n">
        <v>160</v>
      </c>
      <c r="I128" s="2" t="s">
        <v>84</v>
      </c>
      <c r="J128" s="8" t="n">
        <f aca="false">F128*G128</f>
        <v>289</v>
      </c>
      <c r="K128" s="8" t="n">
        <f aca="false">ROUND(J128*Ipoteze!$B$4,2)</f>
        <v>60.69</v>
      </c>
      <c r="L128" s="8" t="n">
        <f aca="false">J128+K128</f>
        <v>349.69</v>
      </c>
      <c r="M128" s="8" t="n">
        <f aca="false">F128*H128</f>
        <v>160</v>
      </c>
      <c r="N128" s="2" t="n">
        <f aca="false">INDEX(Clienti!$E:$E,MATCH(I128,Clienti!$A:$A,0))</f>
        <v>0</v>
      </c>
      <c r="O128" s="19" t="n">
        <f aca="false">B128+N128</f>
        <v>46238</v>
      </c>
      <c r="P128" s="2" t="str">
        <f aca="false">IF(O128&gt;Ipoteze!$B$11,"Neincasat","Incasat")</f>
        <v>Incasat</v>
      </c>
    </row>
    <row r="129" customFormat="false" ht="15" hidden="false" customHeight="false" outlineLevel="0" collapsed="false">
      <c r="A129" s="2" t="s">
        <v>224</v>
      </c>
      <c r="B129" s="19" t="n">
        <v>46238</v>
      </c>
      <c r="C129" s="2" t="s">
        <v>233</v>
      </c>
      <c r="D129" s="2" t="s">
        <v>97</v>
      </c>
      <c r="E129" s="2" t="s">
        <v>98</v>
      </c>
      <c r="F129" s="2" t="n">
        <v>1</v>
      </c>
      <c r="G129" s="8" t="n">
        <v>449</v>
      </c>
      <c r="H129" s="8" t="n">
        <v>290</v>
      </c>
      <c r="I129" s="2" t="s">
        <v>84</v>
      </c>
      <c r="J129" s="8" t="n">
        <f aca="false">F129*G129</f>
        <v>449</v>
      </c>
      <c r="K129" s="8" t="n">
        <f aca="false">ROUND(J129*Ipoteze!$B$4,2)</f>
        <v>94.29</v>
      </c>
      <c r="L129" s="8" t="n">
        <f aca="false">J129+K129</f>
        <v>543.29</v>
      </c>
      <c r="M129" s="8" t="n">
        <f aca="false">F129*H129</f>
        <v>290</v>
      </c>
      <c r="N129" s="2" t="n">
        <f aca="false">INDEX(Clienti!$E:$E,MATCH(I129,Clienti!$A:$A,0))</f>
        <v>0</v>
      </c>
      <c r="O129" s="19" t="n">
        <f aca="false">B129+N129</f>
        <v>46238</v>
      </c>
      <c r="P129" s="2" t="str">
        <f aca="false">IF(O129&gt;Ipoteze!$B$11,"Neincasat","Incasat")</f>
        <v>Incasat</v>
      </c>
    </row>
    <row r="130" customFormat="false" ht="15" hidden="false" customHeight="false" outlineLevel="0" collapsed="false">
      <c r="A130" s="2" t="s">
        <v>224</v>
      </c>
      <c r="B130" s="19" t="n">
        <v>46238</v>
      </c>
      <c r="C130" s="2" t="s">
        <v>234</v>
      </c>
      <c r="D130" s="2" t="s">
        <v>113</v>
      </c>
      <c r="E130" s="2" t="s">
        <v>114</v>
      </c>
      <c r="F130" s="2" t="n">
        <v>2</v>
      </c>
      <c r="G130" s="8" t="n">
        <v>1199</v>
      </c>
      <c r="H130" s="8" t="n">
        <v>780</v>
      </c>
      <c r="I130" s="2" t="s">
        <v>125</v>
      </c>
      <c r="J130" s="8" t="n">
        <f aca="false">F130*G130</f>
        <v>2398</v>
      </c>
      <c r="K130" s="8" t="n">
        <f aca="false">ROUND(J130*Ipoteze!$B$4,2)</f>
        <v>503.58</v>
      </c>
      <c r="L130" s="8" t="n">
        <f aca="false">J130+K130</f>
        <v>2901.58</v>
      </c>
      <c r="M130" s="8" t="n">
        <f aca="false">F130*H130</f>
        <v>1560</v>
      </c>
      <c r="N130" s="2" t="n">
        <f aca="false">INDEX(Clienti!$E:$E,MATCH(I130,Clienti!$A:$A,0))</f>
        <v>15</v>
      </c>
      <c r="O130" s="19" t="n">
        <f aca="false">B130+N130</f>
        <v>46253</v>
      </c>
      <c r="P130" s="2" t="str">
        <f aca="false">IF(O130&gt;Ipoteze!$B$11,"Neincasat","Incasat")</f>
        <v>Incasat</v>
      </c>
    </row>
    <row r="131" customFormat="false" ht="15" hidden="false" customHeight="false" outlineLevel="0" collapsed="false">
      <c r="A131" s="2" t="s">
        <v>224</v>
      </c>
      <c r="B131" s="19" t="n">
        <v>46238</v>
      </c>
      <c r="C131" s="2" t="s">
        <v>235</v>
      </c>
      <c r="D131" s="2" t="s">
        <v>134</v>
      </c>
      <c r="E131" s="2" t="s">
        <v>105</v>
      </c>
      <c r="F131" s="2" t="n">
        <v>15</v>
      </c>
      <c r="G131" s="8" t="n">
        <v>129.9</v>
      </c>
      <c r="H131" s="8" t="n">
        <v>70</v>
      </c>
      <c r="I131" s="2" t="s">
        <v>125</v>
      </c>
      <c r="J131" s="8" t="n">
        <f aca="false">F131*G131</f>
        <v>1948.5</v>
      </c>
      <c r="K131" s="8" t="n">
        <f aca="false">ROUND(J131*Ipoteze!$B$4,2)</f>
        <v>409.19</v>
      </c>
      <c r="L131" s="8" t="n">
        <f aca="false">J131+K131</f>
        <v>2357.69</v>
      </c>
      <c r="M131" s="8" t="n">
        <f aca="false">F131*H131</f>
        <v>1050</v>
      </c>
      <c r="N131" s="2" t="n">
        <f aca="false">INDEX(Clienti!$E:$E,MATCH(I131,Clienti!$A:$A,0))</f>
        <v>15</v>
      </c>
      <c r="O131" s="19" t="n">
        <f aca="false">B131+N131</f>
        <v>46253</v>
      </c>
      <c r="P131" s="2" t="str">
        <f aca="false">IF(O131&gt;Ipoteze!$B$11,"Neincasat","Incasat")</f>
        <v>Incasat</v>
      </c>
    </row>
    <row r="132" customFormat="false" ht="15" hidden="false" customHeight="false" outlineLevel="0" collapsed="false">
      <c r="A132" s="2" t="s">
        <v>224</v>
      </c>
      <c r="B132" s="19" t="n">
        <v>46238</v>
      </c>
      <c r="C132" s="2" t="s">
        <v>236</v>
      </c>
      <c r="D132" s="2" t="s">
        <v>134</v>
      </c>
      <c r="E132" s="2" t="s">
        <v>105</v>
      </c>
      <c r="F132" s="2" t="n">
        <v>2</v>
      </c>
      <c r="G132" s="8" t="n">
        <v>129.9</v>
      </c>
      <c r="H132" s="8" t="n">
        <v>70</v>
      </c>
      <c r="I132" s="2" t="s">
        <v>110</v>
      </c>
      <c r="J132" s="8" t="n">
        <f aca="false">F132*G132</f>
        <v>259.8</v>
      </c>
      <c r="K132" s="8" t="n">
        <f aca="false">ROUND(J132*Ipoteze!$B$4,2)</f>
        <v>54.56</v>
      </c>
      <c r="L132" s="8" t="n">
        <f aca="false">J132+K132</f>
        <v>314.36</v>
      </c>
      <c r="M132" s="8" t="n">
        <f aca="false">F132*H132</f>
        <v>140</v>
      </c>
      <c r="N132" s="2" t="n">
        <f aca="false">INDEX(Clienti!$E:$E,MATCH(I132,Clienti!$A:$A,0))</f>
        <v>0</v>
      </c>
      <c r="O132" s="19" t="n">
        <f aca="false">B132+N132</f>
        <v>46238</v>
      </c>
      <c r="P132" s="2" t="str">
        <f aca="false">IF(O132&gt;Ipoteze!$B$11,"Neincasat","Incasat")</f>
        <v>Incasat</v>
      </c>
    </row>
    <row r="133" customFormat="false" ht="15" hidden="false" customHeight="false" outlineLevel="0" collapsed="false">
      <c r="A133" s="2" t="s">
        <v>224</v>
      </c>
      <c r="B133" s="19" t="n">
        <v>46239</v>
      </c>
      <c r="C133" s="2" t="s">
        <v>237</v>
      </c>
      <c r="D133" s="2" t="s">
        <v>134</v>
      </c>
      <c r="E133" s="2" t="s">
        <v>105</v>
      </c>
      <c r="F133" s="2" t="n">
        <v>22</v>
      </c>
      <c r="G133" s="8" t="n">
        <v>129.9</v>
      </c>
      <c r="H133" s="8" t="n">
        <v>70</v>
      </c>
      <c r="I133" s="2" t="s">
        <v>99</v>
      </c>
      <c r="J133" s="8" t="n">
        <f aca="false">F133*G133</f>
        <v>2857.8</v>
      </c>
      <c r="K133" s="8" t="n">
        <f aca="false">ROUND(J133*Ipoteze!$B$4,2)</f>
        <v>600.14</v>
      </c>
      <c r="L133" s="8" t="n">
        <f aca="false">J133+K133</f>
        <v>3457.94</v>
      </c>
      <c r="M133" s="8" t="n">
        <f aca="false">F133*H133</f>
        <v>1540</v>
      </c>
      <c r="N133" s="2" t="n">
        <f aca="false">INDEX(Clienti!$E:$E,MATCH(I133,Clienti!$A:$A,0))</f>
        <v>30</v>
      </c>
      <c r="O133" s="19" t="n">
        <f aca="false">B133+N133</f>
        <v>46269</v>
      </c>
      <c r="P133" s="2" t="str">
        <f aca="false">IF(O133&gt;Ipoteze!$B$11,"Neincasat","Incasat")</f>
        <v>Incasat</v>
      </c>
    </row>
    <row r="134" customFormat="false" ht="15" hidden="false" customHeight="false" outlineLevel="0" collapsed="false">
      <c r="A134" s="2" t="s">
        <v>224</v>
      </c>
      <c r="B134" s="19" t="n">
        <v>46239</v>
      </c>
      <c r="C134" s="2" t="s">
        <v>238</v>
      </c>
      <c r="D134" s="2" t="s">
        <v>101</v>
      </c>
      <c r="E134" s="2" t="s">
        <v>79</v>
      </c>
      <c r="F134" s="2" t="n">
        <v>2</v>
      </c>
      <c r="G134" s="8" t="n">
        <v>149</v>
      </c>
      <c r="H134" s="8" t="n">
        <v>75</v>
      </c>
      <c r="I134" s="2" t="s">
        <v>92</v>
      </c>
      <c r="J134" s="8" t="n">
        <f aca="false">F134*G134</f>
        <v>298</v>
      </c>
      <c r="K134" s="8" t="n">
        <f aca="false">ROUND(J134*Ipoteze!$B$4,2)</f>
        <v>62.58</v>
      </c>
      <c r="L134" s="8" t="n">
        <f aca="false">J134+K134</f>
        <v>360.58</v>
      </c>
      <c r="M134" s="8" t="n">
        <f aca="false">F134*H134</f>
        <v>150</v>
      </c>
      <c r="N134" s="2" t="n">
        <f aca="false">INDEX(Clienti!$E:$E,MATCH(I134,Clienti!$A:$A,0))</f>
        <v>14</v>
      </c>
      <c r="O134" s="19" t="n">
        <f aca="false">B134+N134</f>
        <v>46253</v>
      </c>
      <c r="P134" s="2" t="str">
        <f aca="false">IF(O134&gt;Ipoteze!$B$11,"Neincasat","Incasat")</f>
        <v>Incasat</v>
      </c>
    </row>
    <row r="135" customFormat="false" ht="15" hidden="false" customHeight="false" outlineLevel="0" collapsed="false">
      <c r="A135" s="2" t="s">
        <v>224</v>
      </c>
      <c r="B135" s="19" t="n">
        <v>46239</v>
      </c>
      <c r="C135" s="2" t="s">
        <v>239</v>
      </c>
      <c r="D135" s="2" t="s">
        <v>108</v>
      </c>
      <c r="E135" s="2" t="s">
        <v>83</v>
      </c>
      <c r="F135" s="2" t="n">
        <v>3</v>
      </c>
      <c r="G135" s="8" t="n">
        <v>289</v>
      </c>
      <c r="H135" s="8" t="n">
        <v>160</v>
      </c>
      <c r="I135" s="2" t="s">
        <v>92</v>
      </c>
      <c r="J135" s="8" t="n">
        <f aca="false">F135*G135</f>
        <v>867</v>
      </c>
      <c r="K135" s="8" t="n">
        <f aca="false">ROUND(J135*Ipoteze!$B$4,2)</f>
        <v>182.07</v>
      </c>
      <c r="L135" s="8" t="n">
        <f aca="false">J135+K135</f>
        <v>1049.07</v>
      </c>
      <c r="M135" s="8" t="n">
        <f aca="false">F135*H135</f>
        <v>480</v>
      </c>
      <c r="N135" s="2" t="n">
        <f aca="false">INDEX(Clienti!$E:$E,MATCH(I135,Clienti!$A:$A,0))</f>
        <v>14</v>
      </c>
      <c r="O135" s="19" t="n">
        <f aca="false">B135+N135</f>
        <v>46253</v>
      </c>
      <c r="P135" s="2" t="str">
        <f aca="false">IF(O135&gt;Ipoteze!$B$11,"Neincasat","Incasat")</f>
        <v>Incasat</v>
      </c>
    </row>
    <row r="136" customFormat="false" ht="15" hidden="false" customHeight="false" outlineLevel="0" collapsed="false">
      <c r="A136" s="2" t="s">
        <v>224</v>
      </c>
      <c r="B136" s="19" t="n">
        <v>46239</v>
      </c>
      <c r="C136" s="2" t="s">
        <v>240</v>
      </c>
      <c r="D136" s="2" t="s">
        <v>94</v>
      </c>
      <c r="E136" s="2" t="s">
        <v>79</v>
      </c>
      <c r="F136" s="2" t="n">
        <v>12</v>
      </c>
      <c r="G136" s="8" t="n">
        <v>49.9</v>
      </c>
      <c r="H136" s="8" t="n">
        <v>19</v>
      </c>
      <c r="I136" s="2" t="s">
        <v>80</v>
      </c>
      <c r="J136" s="8" t="n">
        <f aca="false">F136*G136</f>
        <v>598.8</v>
      </c>
      <c r="K136" s="8" t="n">
        <f aca="false">ROUND(J136*Ipoteze!$B$4,2)</f>
        <v>125.75</v>
      </c>
      <c r="L136" s="8" t="n">
        <f aca="false">J136+K136</f>
        <v>724.55</v>
      </c>
      <c r="M136" s="8" t="n">
        <f aca="false">F136*H136</f>
        <v>228</v>
      </c>
      <c r="N136" s="2" t="n">
        <f aca="false">INDEX(Clienti!$E:$E,MATCH(I136,Clienti!$A:$A,0))</f>
        <v>15</v>
      </c>
      <c r="O136" s="19" t="n">
        <f aca="false">B136+N136</f>
        <v>46254</v>
      </c>
      <c r="P136" s="2" t="str">
        <f aca="false">IF(O136&gt;Ipoteze!$B$11,"Neincasat","Incasat")</f>
        <v>Incasat</v>
      </c>
    </row>
    <row r="137" customFormat="false" ht="15" hidden="false" customHeight="false" outlineLevel="0" collapsed="false">
      <c r="A137" s="2" t="s">
        <v>224</v>
      </c>
      <c r="B137" s="19" t="n">
        <v>46239</v>
      </c>
      <c r="C137" s="2" t="s">
        <v>241</v>
      </c>
      <c r="D137" s="2" t="s">
        <v>101</v>
      </c>
      <c r="E137" s="2" t="s">
        <v>79</v>
      </c>
      <c r="F137" s="2" t="n">
        <v>3</v>
      </c>
      <c r="G137" s="8" t="n">
        <v>149</v>
      </c>
      <c r="H137" s="8" t="n">
        <v>75</v>
      </c>
      <c r="I137" s="2" t="s">
        <v>84</v>
      </c>
      <c r="J137" s="8" t="n">
        <f aca="false">F137*G137</f>
        <v>447</v>
      </c>
      <c r="K137" s="8" t="n">
        <f aca="false">ROUND(J137*Ipoteze!$B$4,2)</f>
        <v>93.87</v>
      </c>
      <c r="L137" s="8" t="n">
        <f aca="false">J137+K137</f>
        <v>540.87</v>
      </c>
      <c r="M137" s="8" t="n">
        <f aca="false">F137*H137</f>
        <v>225</v>
      </c>
      <c r="N137" s="2" t="n">
        <f aca="false">INDEX(Clienti!$E:$E,MATCH(I137,Clienti!$A:$A,0))</f>
        <v>0</v>
      </c>
      <c r="O137" s="19" t="n">
        <f aca="false">B137+N137</f>
        <v>46239</v>
      </c>
      <c r="P137" s="2" t="str">
        <f aca="false">IF(O137&gt;Ipoteze!$B$11,"Neincasat","Incasat")</f>
        <v>Incasat</v>
      </c>
    </row>
    <row r="138" customFormat="false" ht="15" hidden="false" customHeight="false" outlineLevel="0" collapsed="false">
      <c r="A138" s="2" t="s">
        <v>224</v>
      </c>
      <c r="B138" s="19" t="n">
        <v>46239</v>
      </c>
      <c r="C138" s="2" t="s">
        <v>242</v>
      </c>
      <c r="D138" s="2" t="s">
        <v>86</v>
      </c>
      <c r="E138" s="2" t="s">
        <v>87</v>
      </c>
      <c r="F138" s="2" t="n">
        <v>10</v>
      </c>
      <c r="G138" s="8" t="n">
        <v>54.9</v>
      </c>
      <c r="H138" s="8" t="n">
        <v>22</v>
      </c>
      <c r="I138" s="2" t="s">
        <v>95</v>
      </c>
      <c r="J138" s="8" t="n">
        <f aca="false">F138*G138</f>
        <v>549</v>
      </c>
      <c r="K138" s="8" t="n">
        <f aca="false">ROUND(J138*Ipoteze!$B$4,2)</f>
        <v>115.29</v>
      </c>
      <c r="L138" s="8" t="n">
        <f aca="false">J138+K138</f>
        <v>664.29</v>
      </c>
      <c r="M138" s="8" t="n">
        <f aca="false">F138*H138</f>
        <v>220</v>
      </c>
      <c r="N138" s="2" t="n">
        <f aca="false">INDEX(Clienti!$E:$E,MATCH(I138,Clienti!$A:$A,0))</f>
        <v>30</v>
      </c>
      <c r="O138" s="19" t="n">
        <f aca="false">B138+N138</f>
        <v>46269</v>
      </c>
      <c r="P138" s="2" t="str">
        <f aca="false">IF(O138&gt;Ipoteze!$B$11,"Neincasat","Incasat")</f>
        <v>Incasat</v>
      </c>
    </row>
    <row r="139" customFormat="false" ht="15" hidden="false" customHeight="false" outlineLevel="0" collapsed="false">
      <c r="A139" s="2" t="s">
        <v>224</v>
      </c>
      <c r="B139" s="19" t="n">
        <v>46240</v>
      </c>
      <c r="C139" s="2" t="s">
        <v>243</v>
      </c>
      <c r="D139" s="2" t="s">
        <v>108</v>
      </c>
      <c r="E139" s="2" t="s">
        <v>83</v>
      </c>
      <c r="F139" s="2" t="n">
        <v>8</v>
      </c>
      <c r="G139" s="8" t="n">
        <v>289</v>
      </c>
      <c r="H139" s="8" t="n">
        <v>160</v>
      </c>
      <c r="I139" s="2" t="s">
        <v>95</v>
      </c>
      <c r="J139" s="8" t="n">
        <f aca="false">F139*G139</f>
        <v>2312</v>
      </c>
      <c r="K139" s="8" t="n">
        <f aca="false">ROUND(J139*Ipoteze!$B$4,2)</f>
        <v>485.52</v>
      </c>
      <c r="L139" s="8" t="n">
        <f aca="false">J139+K139</f>
        <v>2797.52</v>
      </c>
      <c r="M139" s="8" t="n">
        <f aca="false">F139*H139</f>
        <v>1280</v>
      </c>
      <c r="N139" s="2" t="n">
        <f aca="false">INDEX(Clienti!$E:$E,MATCH(I139,Clienti!$A:$A,0))</f>
        <v>30</v>
      </c>
      <c r="O139" s="19" t="n">
        <f aca="false">B139+N139</f>
        <v>46270</v>
      </c>
      <c r="P139" s="2" t="str">
        <f aca="false">IF(O139&gt;Ipoteze!$B$11,"Neincasat","Incasat")</f>
        <v>Incasat</v>
      </c>
    </row>
    <row r="140" customFormat="false" ht="15" hidden="false" customHeight="false" outlineLevel="0" collapsed="false">
      <c r="A140" s="2" t="s">
        <v>224</v>
      </c>
      <c r="B140" s="19" t="n">
        <v>46240</v>
      </c>
      <c r="C140" s="2" t="s">
        <v>244</v>
      </c>
      <c r="D140" s="2" t="s">
        <v>89</v>
      </c>
      <c r="E140" s="2" t="s">
        <v>87</v>
      </c>
      <c r="F140" s="2" t="n">
        <v>2</v>
      </c>
      <c r="G140" s="8" t="n">
        <v>29.99</v>
      </c>
      <c r="H140" s="8" t="n">
        <v>9</v>
      </c>
      <c r="I140" s="2" t="s">
        <v>84</v>
      </c>
      <c r="J140" s="8" t="n">
        <f aca="false">F140*G140</f>
        <v>59.98</v>
      </c>
      <c r="K140" s="8" t="n">
        <f aca="false">ROUND(J140*Ipoteze!$B$4,2)</f>
        <v>12.6</v>
      </c>
      <c r="L140" s="8" t="n">
        <f aca="false">J140+K140</f>
        <v>72.58</v>
      </c>
      <c r="M140" s="8" t="n">
        <f aca="false">F140*H140</f>
        <v>18</v>
      </c>
      <c r="N140" s="2" t="n">
        <f aca="false">INDEX(Clienti!$E:$E,MATCH(I140,Clienti!$A:$A,0))</f>
        <v>0</v>
      </c>
      <c r="O140" s="19" t="n">
        <f aca="false">B140+N140</f>
        <v>46240</v>
      </c>
      <c r="P140" s="2" t="str">
        <f aca="false">IF(O140&gt;Ipoteze!$B$11,"Neincasat","Incasat")</f>
        <v>Incasat</v>
      </c>
    </row>
    <row r="141" customFormat="false" ht="15" hidden="false" customHeight="false" outlineLevel="0" collapsed="false">
      <c r="A141" s="2" t="s">
        <v>224</v>
      </c>
      <c r="B141" s="19" t="n">
        <v>46240</v>
      </c>
      <c r="C141" s="2" t="s">
        <v>245</v>
      </c>
      <c r="D141" s="2" t="s">
        <v>97</v>
      </c>
      <c r="E141" s="2" t="s">
        <v>98</v>
      </c>
      <c r="F141" s="2" t="n">
        <v>1</v>
      </c>
      <c r="G141" s="8" t="n">
        <v>449</v>
      </c>
      <c r="H141" s="8" t="n">
        <v>290</v>
      </c>
      <c r="I141" s="2" t="s">
        <v>84</v>
      </c>
      <c r="J141" s="8" t="n">
        <f aca="false">F141*G141</f>
        <v>449</v>
      </c>
      <c r="K141" s="8" t="n">
        <f aca="false">ROUND(J141*Ipoteze!$B$4,2)</f>
        <v>94.29</v>
      </c>
      <c r="L141" s="8" t="n">
        <f aca="false">J141+K141</f>
        <v>543.29</v>
      </c>
      <c r="M141" s="8" t="n">
        <f aca="false">F141*H141</f>
        <v>290</v>
      </c>
      <c r="N141" s="2" t="n">
        <f aca="false">INDEX(Clienti!$E:$E,MATCH(I141,Clienti!$A:$A,0))</f>
        <v>0</v>
      </c>
      <c r="O141" s="19" t="n">
        <f aca="false">B141+N141</f>
        <v>46240</v>
      </c>
      <c r="P141" s="2" t="str">
        <f aca="false">IF(O141&gt;Ipoteze!$B$11,"Neincasat","Incasat")</f>
        <v>Incasat</v>
      </c>
    </row>
    <row r="142" customFormat="false" ht="15" hidden="false" customHeight="false" outlineLevel="0" collapsed="false">
      <c r="A142" s="2" t="s">
        <v>224</v>
      </c>
      <c r="B142" s="19" t="n">
        <v>46241</v>
      </c>
      <c r="C142" s="2" t="s">
        <v>246</v>
      </c>
      <c r="D142" s="2" t="s">
        <v>101</v>
      </c>
      <c r="E142" s="2" t="s">
        <v>79</v>
      </c>
      <c r="F142" s="2" t="n">
        <v>2</v>
      </c>
      <c r="G142" s="8" t="n">
        <v>149</v>
      </c>
      <c r="H142" s="8" t="n">
        <v>75</v>
      </c>
      <c r="I142" s="2" t="s">
        <v>84</v>
      </c>
      <c r="J142" s="8" t="n">
        <f aca="false">F142*G142</f>
        <v>298</v>
      </c>
      <c r="K142" s="8" t="n">
        <f aca="false">ROUND(J142*Ipoteze!$B$4,2)</f>
        <v>62.58</v>
      </c>
      <c r="L142" s="8" t="n">
        <f aca="false">J142+K142</f>
        <v>360.58</v>
      </c>
      <c r="M142" s="8" t="n">
        <f aca="false">F142*H142</f>
        <v>150</v>
      </c>
      <c r="N142" s="2" t="n">
        <f aca="false">INDEX(Clienti!$E:$E,MATCH(I142,Clienti!$A:$A,0))</f>
        <v>0</v>
      </c>
      <c r="O142" s="19" t="n">
        <f aca="false">B142+N142</f>
        <v>46241</v>
      </c>
      <c r="P142" s="2" t="str">
        <f aca="false">IF(O142&gt;Ipoteze!$B$11,"Neincasat","Incasat")</f>
        <v>Incasat</v>
      </c>
    </row>
    <row r="143" customFormat="false" ht="15" hidden="false" customHeight="false" outlineLevel="0" collapsed="false">
      <c r="A143" s="2" t="s">
        <v>224</v>
      </c>
      <c r="B143" s="19" t="n">
        <v>46241</v>
      </c>
      <c r="C143" s="2" t="s">
        <v>247</v>
      </c>
      <c r="D143" s="2" t="s">
        <v>101</v>
      </c>
      <c r="E143" s="2" t="s">
        <v>79</v>
      </c>
      <c r="F143" s="2" t="n">
        <v>1</v>
      </c>
      <c r="G143" s="8" t="n">
        <v>149</v>
      </c>
      <c r="H143" s="8" t="n">
        <v>75</v>
      </c>
      <c r="I143" s="2" t="s">
        <v>92</v>
      </c>
      <c r="J143" s="8" t="n">
        <f aca="false">F143*G143</f>
        <v>149</v>
      </c>
      <c r="K143" s="8" t="n">
        <f aca="false">ROUND(J143*Ipoteze!$B$4,2)</f>
        <v>31.29</v>
      </c>
      <c r="L143" s="8" t="n">
        <f aca="false">J143+K143</f>
        <v>180.29</v>
      </c>
      <c r="M143" s="8" t="n">
        <f aca="false">F143*H143</f>
        <v>75</v>
      </c>
      <c r="N143" s="2" t="n">
        <f aca="false">INDEX(Clienti!$E:$E,MATCH(I143,Clienti!$A:$A,0))</f>
        <v>14</v>
      </c>
      <c r="O143" s="19" t="n">
        <f aca="false">B143+N143</f>
        <v>46255</v>
      </c>
      <c r="P143" s="2" t="str">
        <f aca="false">IF(O143&gt;Ipoteze!$B$11,"Neincasat","Incasat")</f>
        <v>Incasat</v>
      </c>
    </row>
    <row r="144" customFormat="false" ht="15" hidden="false" customHeight="false" outlineLevel="0" collapsed="false">
      <c r="A144" s="2" t="s">
        <v>224</v>
      </c>
      <c r="B144" s="19" t="n">
        <v>46241</v>
      </c>
      <c r="C144" s="2" t="s">
        <v>248</v>
      </c>
      <c r="D144" s="2" t="s">
        <v>86</v>
      </c>
      <c r="E144" s="2" t="s">
        <v>87</v>
      </c>
      <c r="F144" s="2" t="n">
        <v>2</v>
      </c>
      <c r="G144" s="8" t="n">
        <v>54.9</v>
      </c>
      <c r="H144" s="8" t="n">
        <v>22</v>
      </c>
      <c r="I144" s="2" t="s">
        <v>84</v>
      </c>
      <c r="J144" s="8" t="n">
        <f aca="false">F144*G144</f>
        <v>109.8</v>
      </c>
      <c r="K144" s="8" t="n">
        <f aca="false">ROUND(J144*Ipoteze!$B$4,2)</f>
        <v>23.06</v>
      </c>
      <c r="L144" s="8" t="n">
        <f aca="false">J144+K144</f>
        <v>132.86</v>
      </c>
      <c r="M144" s="8" t="n">
        <f aca="false">F144*H144</f>
        <v>44</v>
      </c>
      <c r="N144" s="2" t="n">
        <f aca="false">INDEX(Clienti!$E:$E,MATCH(I144,Clienti!$A:$A,0))</f>
        <v>0</v>
      </c>
      <c r="O144" s="19" t="n">
        <f aca="false">B144+N144</f>
        <v>46241</v>
      </c>
      <c r="P144" s="2" t="str">
        <f aca="false">IF(O144&gt;Ipoteze!$B$11,"Neincasat","Incasat")</f>
        <v>Incasat</v>
      </c>
    </row>
    <row r="145" customFormat="false" ht="15" hidden="false" customHeight="false" outlineLevel="0" collapsed="false">
      <c r="A145" s="2" t="s">
        <v>224</v>
      </c>
      <c r="B145" s="19" t="n">
        <v>46241</v>
      </c>
      <c r="C145" s="2" t="s">
        <v>249</v>
      </c>
      <c r="D145" s="2" t="s">
        <v>78</v>
      </c>
      <c r="E145" s="2" t="s">
        <v>79</v>
      </c>
      <c r="F145" s="2" t="n">
        <v>1</v>
      </c>
      <c r="G145" s="8" t="n">
        <v>169</v>
      </c>
      <c r="H145" s="8" t="n">
        <v>85</v>
      </c>
      <c r="I145" s="2" t="s">
        <v>110</v>
      </c>
      <c r="J145" s="8" t="n">
        <f aca="false">F145*G145</f>
        <v>169</v>
      </c>
      <c r="K145" s="8" t="n">
        <f aca="false">ROUND(J145*Ipoteze!$B$4,2)</f>
        <v>35.49</v>
      </c>
      <c r="L145" s="8" t="n">
        <f aca="false">J145+K145</f>
        <v>204.49</v>
      </c>
      <c r="M145" s="8" t="n">
        <f aca="false">F145*H145</f>
        <v>85</v>
      </c>
      <c r="N145" s="2" t="n">
        <f aca="false">INDEX(Clienti!$E:$E,MATCH(I145,Clienti!$A:$A,0))</f>
        <v>0</v>
      </c>
      <c r="O145" s="19" t="n">
        <f aca="false">B145+N145</f>
        <v>46241</v>
      </c>
      <c r="P145" s="2" t="str">
        <f aca="false">IF(O145&gt;Ipoteze!$B$11,"Neincasat","Incasat")</f>
        <v>Incasat</v>
      </c>
    </row>
    <row r="146" customFormat="false" ht="15" hidden="false" customHeight="false" outlineLevel="0" collapsed="false">
      <c r="A146" s="2" t="s">
        <v>224</v>
      </c>
      <c r="B146" s="19" t="n">
        <v>46242</v>
      </c>
      <c r="C146" s="2" t="s">
        <v>250</v>
      </c>
      <c r="D146" s="2" t="s">
        <v>89</v>
      </c>
      <c r="E146" s="2" t="s">
        <v>87</v>
      </c>
      <c r="F146" s="2" t="n">
        <v>1</v>
      </c>
      <c r="G146" s="8" t="n">
        <v>29.99</v>
      </c>
      <c r="H146" s="8" t="n">
        <v>9</v>
      </c>
      <c r="I146" s="2" t="s">
        <v>84</v>
      </c>
      <c r="J146" s="8" t="n">
        <f aca="false">F146*G146</f>
        <v>29.99</v>
      </c>
      <c r="K146" s="8" t="n">
        <f aca="false">ROUND(J146*Ipoteze!$B$4,2)</f>
        <v>6.3</v>
      </c>
      <c r="L146" s="8" t="n">
        <f aca="false">J146+K146</f>
        <v>36.29</v>
      </c>
      <c r="M146" s="8" t="n">
        <f aca="false">F146*H146</f>
        <v>9</v>
      </c>
      <c r="N146" s="2" t="n">
        <f aca="false">INDEX(Clienti!$E:$E,MATCH(I146,Clienti!$A:$A,0))</f>
        <v>0</v>
      </c>
      <c r="O146" s="19" t="n">
        <f aca="false">B146+N146</f>
        <v>46242</v>
      </c>
      <c r="P146" s="2" t="str">
        <f aca="false">IF(O146&gt;Ipoteze!$B$11,"Neincasat","Incasat")</f>
        <v>Incasat</v>
      </c>
    </row>
    <row r="147" customFormat="false" ht="15" hidden="false" customHeight="false" outlineLevel="0" collapsed="false">
      <c r="A147" s="2" t="s">
        <v>224</v>
      </c>
      <c r="B147" s="19" t="n">
        <v>46242</v>
      </c>
      <c r="C147" s="2" t="s">
        <v>251</v>
      </c>
      <c r="D147" s="2" t="s">
        <v>94</v>
      </c>
      <c r="E147" s="2" t="s">
        <v>79</v>
      </c>
      <c r="F147" s="2" t="n">
        <v>1</v>
      </c>
      <c r="G147" s="8" t="n">
        <v>49.9</v>
      </c>
      <c r="H147" s="8" t="n">
        <v>19</v>
      </c>
      <c r="I147" s="2" t="s">
        <v>84</v>
      </c>
      <c r="J147" s="8" t="n">
        <f aca="false">F147*G147</f>
        <v>49.9</v>
      </c>
      <c r="K147" s="8" t="n">
        <f aca="false">ROUND(J147*Ipoteze!$B$4,2)</f>
        <v>10.48</v>
      </c>
      <c r="L147" s="8" t="n">
        <f aca="false">J147+K147</f>
        <v>60.38</v>
      </c>
      <c r="M147" s="8" t="n">
        <f aca="false">F147*H147</f>
        <v>19</v>
      </c>
      <c r="N147" s="2" t="n">
        <f aca="false">INDEX(Clienti!$E:$E,MATCH(I147,Clienti!$A:$A,0))</f>
        <v>0</v>
      </c>
      <c r="O147" s="19" t="n">
        <f aca="false">B147+N147</f>
        <v>46242</v>
      </c>
      <c r="P147" s="2" t="str">
        <f aca="false">IF(O147&gt;Ipoteze!$B$11,"Neincasat","Incasat")</f>
        <v>Incasat</v>
      </c>
    </row>
    <row r="148" customFormat="false" ht="15" hidden="false" customHeight="false" outlineLevel="0" collapsed="false">
      <c r="A148" s="2" t="s">
        <v>224</v>
      </c>
      <c r="B148" s="19" t="n">
        <v>46242</v>
      </c>
      <c r="C148" s="2" t="s">
        <v>252</v>
      </c>
      <c r="D148" s="2" t="s">
        <v>108</v>
      </c>
      <c r="E148" s="2" t="s">
        <v>83</v>
      </c>
      <c r="F148" s="2" t="n">
        <v>1</v>
      </c>
      <c r="G148" s="8" t="n">
        <v>289</v>
      </c>
      <c r="H148" s="8" t="n">
        <v>160</v>
      </c>
      <c r="I148" s="2" t="s">
        <v>110</v>
      </c>
      <c r="J148" s="8" t="n">
        <f aca="false">F148*G148</f>
        <v>289</v>
      </c>
      <c r="K148" s="8" t="n">
        <f aca="false">ROUND(J148*Ipoteze!$B$4,2)</f>
        <v>60.69</v>
      </c>
      <c r="L148" s="8" t="n">
        <f aca="false">J148+K148</f>
        <v>349.69</v>
      </c>
      <c r="M148" s="8" t="n">
        <f aca="false">F148*H148</f>
        <v>160</v>
      </c>
      <c r="N148" s="2" t="n">
        <f aca="false">INDEX(Clienti!$E:$E,MATCH(I148,Clienti!$A:$A,0))</f>
        <v>0</v>
      </c>
      <c r="O148" s="19" t="n">
        <f aca="false">B148+N148</f>
        <v>46242</v>
      </c>
      <c r="P148" s="2" t="str">
        <f aca="false">IF(O148&gt;Ipoteze!$B$11,"Neincasat","Incasat")</f>
        <v>Incasat</v>
      </c>
    </row>
    <row r="149" customFormat="false" ht="15" hidden="false" customHeight="false" outlineLevel="0" collapsed="false">
      <c r="A149" s="2" t="s">
        <v>224</v>
      </c>
      <c r="B149" s="19" t="n">
        <v>46242</v>
      </c>
      <c r="C149" s="2" t="s">
        <v>253</v>
      </c>
      <c r="D149" s="2" t="s">
        <v>108</v>
      </c>
      <c r="E149" s="2" t="s">
        <v>83</v>
      </c>
      <c r="F149" s="2" t="n">
        <v>2</v>
      </c>
      <c r="G149" s="8" t="n">
        <v>289</v>
      </c>
      <c r="H149" s="8" t="n">
        <v>160</v>
      </c>
      <c r="I149" s="2" t="s">
        <v>110</v>
      </c>
      <c r="J149" s="8" t="n">
        <f aca="false">F149*G149</f>
        <v>578</v>
      </c>
      <c r="K149" s="8" t="n">
        <f aca="false">ROUND(J149*Ipoteze!$B$4,2)</f>
        <v>121.38</v>
      </c>
      <c r="L149" s="8" t="n">
        <f aca="false">J149+K149</f>
        <v>699.38</v>
      </c>
      <c r="M149" s="8" t="n">
        <f aca="false">F149*H149</f>
        <v>320</v>
      </c>
      <c r="N149" s="2" t="n">
        <f aca="false">INDEX(Clienti!$E:$E,MATCH(I149,Clienti!$A:$A,0))</f>
        <v>0</v>
      </c>
      <c r="O149" s="19" t="n">
        <f aca="false">B149+N149</f>
        <v>46242</v>
      </c>
      <c r="P149" s="2" t="str">
        <f aca="false">IF(O149&gt;Ipoteze!$B$11,"Neincasat","Incasat")</f>
        <v>Incasat</v>
      </c>
    </row>
    <row r="150" customFormat="false" ht="15" hidden="false" customHeight="false" outlineLevel="0" collapsed="false">
      <c r="A150" s="2" t="s">
        <v>224</v>
      </c>
      <c r="B150" s="19" t="n">
        <v>46242</v>
      </c>
      <c r="C150" s="2" t="s">
        <v>254</v>
      </c>
      <c r="D150" s="2" t="s">
        <v>108</v>
      </c>
      <c r="E150" s="2" t="s">
        <v>83</v>
      </c>
      <c r="F150" s="2" t="n">
        <v>12</v>
      </c>
      <c r="G150" s="8" t="n">
        <v>289</v>
      </c>
      <c r="H150" s="8" t="n">
        <v>160</v>
      </c>
      <c r="I150" s="2" t="s">
        <v>125</v>
      </c>
      <c r="J150" s="8" t="n">
        <f aca="false">F150*G150</f>
        <v>3468</v>
      </c>
      <c r="K150" s="8" t="n">
        <f aca="false">ROUND(J150*Ipoteze!$B$4,2)</f>
        <v>728.28</v>
      </c>
      <c r="L150" s="8" t="n">
        <f aca="false">J150+K150</f>
        <v>4196.28</v>
      </c>
      <c r="M150" s="8" t="n">
        <f aca="false">F150*H150</f>
        <v>1920</v>
      </c>
      <c r="N150" s="2" t="n">
        <f aca="false">INDEX(Clienti!$E:$E,MATCH(I150,Clienti!$A:$A,0))</f>
        <v>15</v>
      </c>
      <c r="O150" s="19" t="n">
        <f aca="false">B150+N150</f>
        <v>46257</v>
      </c>
      <c r="P150" s="2" t="str">
        <f aca="false">IF(O150&gt;Ipoteze!$B$11,"Neincasat","Incasat")</f>
        <v>Incasat</v>
      </c>
    </row>
    <row r="151" customFormat="false" ht="15" hidden="false" customHeight="false" outlineLevel="0" collapsed="false">
      <c r="A151" s="2" t="s">
        <v>224</v>
      </c>
      <c r="B151" s="19" t="n">
        <v>46244</v>
      </c>
      <c r="C151" s="2" t="s">
        <v>255</v>
      </c>
      <c r="D151" s="2" t="s">
        <v>89</v>
      </c>
      <c r="E151" s="2" t="s">
        <v>87</v>
      </c>
      <c r="F151" s="2" t="n">
        <v>1</v>
      </c>
      <c r="G151" s="8" t="n">
        <v>29.99</v>
      </c>
      <c r="H151" s="8" t="n">
        <v>9</v>
      </c>
      <c r="I151" s="2" t="s">
        <v>110</v>
      </c>
      <c r="J151" s="8" t="n">
        <f aca="false">F151*G151</f>
        <v>29.99</v>
      </c>
      <c r="K151" s="8" t="n">
        <f aca="false">ROUND(J151*Ipoteze!$B$4,2)</f>
        <v>6.3</v>
      </c>
      <c r="L151" s="8" t="n">
        <f aca="false">J151+K151</f>
        <v>36.29</v>
      </c>
      <c r="M151" s="8" t="n">
        <f aca="false">F151*H151</f>
        <v>9</v>
      </c>
      <c r="N151" s="2" t="n">
        <f aca="false">INDEX(Clienti!$E:$E,MATCH(I151,Clienti!$A:$A,0))</f>
        <v>0</v>
      </c>
      <c r="O151" s="19" t="n">
        <f aca="false">B151+N151</f>
        <v>46244</v>
      </c>
      <c r="P151" s="2" t="str">
        <f aca="false">IF(O151&gt;Ipoteze!$B$11,"Neincasat","Incasat")</f>
        <v>Incasat</v>
      </c>
    </row>
    <row r="152" customFormat="false" ht="15" hidden="false" customHeight="false" outlineLevel="0" collapsed="false">
      <c r="A152" s="2" t="s">
        <v>224</v>
      </c>
      <c r="B152" s="19" t="n">
        <v>46244</v>
      </c>
      <c r="C152" s="2" t="s">
        <v>256</v>
      </c>
      <c r="D152" s="2" t="s">
        <v>130</v>
      </c>
      <c r="E152" s="2" t="s">
        <v>83</v>
      </c>
      <c r="F152" s="2" t="n">
        <v>16</v>
      </c>
      <c r="G152" s="8" t="n">
        <v>349</v>
      </c>
      <c r="H152" s="8" t="n">
        <v>190</v>
      </c>
      <c r="I152" s="2" t="s">
        <v>80</v>
      </c>
      <c r="J152" s="8" t="n">
        <f aca="false">F152*G152</f>
        <v>5584</v>
      </c>
      <c r="K152" s="8" t="n">
        <f aca="false">ROUND(J152*Ipoteze!$B$4,2)</f>
        <v>1172.64</v>
      </c>
      <c r="L152" s="8" t="n">
        <f aca="false">J152+K152</f>
        <v>6756.64</v>
      </c>
      <c r="M152" s="8" t="n">
        <f aca="false">F152*H152</f>
        <v>3040</v>
      </c>
      <c r="N152" s="2" t="n">
        <f aca="false">INDEX(Clienti!$E:$E,MATCH(I152,Clienti!$A:$A,0))</f>
        <v>15</v>
      </c>
      <c r="O152" s="19" t="n">
        <f aca="false">B152+N152</f>
        <v>46259</v>
      </c>
      <c r="P152" s="2" t="str">
        <f aca="false">IF(O152&gt;Ipoteze!$B$11,"Neincasat","Incasat")</f>
        <v>Incasat</v>
      </c>
    </row>
    <row r="153" customFormat="false" ht="15" hidden="false" customHeight="false" outlineLevel="0" collapsed="false">
      <c r="A153" s="2" t="s">
        <v>224</v>
      </c>
      <c r="B153" s="19" t="n">
        <v>46244</v>
      </c>
      <c r="C153" s="2" t="s">
        <v>257</v>
      </c>
      <c r="D153" s="2" t="s">
        <v>108</v>
      </c>
      <c r="E153" s="2" t="s">
        <v>83</v>
      </c>
      <c r="F153" s="2" t="n">
        <v>13</v>
      </c>
      <c r="G153" s="8" t="n">
        <v>289</v>
      </c>
      <c r="H153" s="8" t="n">
        <v>160</v>
      </c>
      <c r="I153" s="2" t="s">
        <v>116</v>
      </c>
      <c r="J153" s="8" t="n">
        <f aca="false">F153*G153</f>
        <v>3757</v>
      </c>
      <c r="K153" s="8" t="n">
        <f aca="false">ROUND(J153*Ipoteze!$B$4,2)</f>
        <v>788.97</v>
      </c>
      <c r="L153" s="8" t="n">
        <f aca="false">J153+K153</f>
        <v>4545.97</v>
      </c>
      <c r="M153" s="8" t="n">
        <f aca="false">F153*H153</f>
        <v>2080</v>
      </c>
      <c r="N153" s="2" t="n">
        <f aca="false">INDEX(Clienti!$E:$E,MATCH(I153,Clienti!$A:$A,0))</f>
        <v>30</v>
      </c>
      <c r="O153" s="19" t="n">
        <f aca="false">B153+N153</f>
        <v>46274</v>
      </c>
      <c r="P153" s="2" t="str">
        <f aca="false">IF(O153&gt;Ipoteze!$B$11,"Neincasat","Incasat")</f>
        <v>Incasat</v>
      </c>
    </row>
    <row r="154" customFormat="false" ht="15" hidden="false" customHeight="false" outlineLevel="0" collapsed="false">
      <c r="A154" s="2" t="s">
        <v>224</v>
      </c>
      <c r="B154" s="19" t="n">
        <v>46244</v>
      </c>
      <c r="C154" s="2" t="s">
        <v>258</v>
      </c>
      <c r="D154" s="2" t="s">
        <v>89</v>
      </c>
      <c r="E154" s="2" t="s">
        <v>87</v>
      </c>
      <c r="F154" s="2" t="n">
        <v>1</v>
      </c>
      <c r="G154" s="8" t="n">
        <v>29.99</v>
      </c>
      <c r="H154" s="8" t="n">
        <v>9</v>
      </c>
      <c r="I154" s="2" t="s">
        <v>92</v>
      </c>
      <c r="J154" s="8" t="n">
        <f aca="false">F154*G154</f>
        <v>29.99</v>
      </c>
      <c r="K154" s="8" t="n">
        <f aca="false">ROUND(J154*Ipoteze!$B$4,2)</f>
        <v>6.3</v>
      </c>
      <c r="L154" s="8" t="n">
        <f aca="false">J154+K154</f>
        <v>36.29</v>
      </c>
      <c r="M154" s="8" t="n">
        <f aca="false">F154*H154</f>
        <v>9</v>
      </c>
      <c r="N154" s="2" t="n">
        <f aca="false">INDEX(Clienti!$E:$E,MATCH(I154,Clienti!$A:$A,0))</f>
        <v>14</v>
      </c>
      <c r="O154" s="19" t="n">
        <f aca="false">B154+N154</f>
        <v>46258</v>
      </c>
      <c r="P154" s="2" t="str">
        <f aca="false">IF(O154&gt;Ipoteze!$B$11,"Neincasat","Incasat")</f>
        <v>Incasat</v>
      </c>
    </row>
    <row r="155" customFormat="false" ht="15" hidden="false" customHeight="false" outlineLevel="0" collapsed="false">
      <c r="A155" s="2" t="s">
        <v>224</v>
      </c>
      <c r="B155" s="19" t="n">
        <v>46244</v>
      </c>
      <c r="C155" s="2" t="s">
        <v>259</v>
      </c>
      <c r="D155" s="2" t="s">
        <v>82</v>
      </c>
      <c r="E155" s="2" t="s">
        <v>83</v>
      </c>
      <c r="F155" s="2" t="n">
        <v>2</v>
      </c>
      <c r="G155" s="8" t="n">
        <v>79.99</v>
      </c>
      <c r="H155" s="8" t="n">
        <v>45</v>
      </c>
      <c r="I155" s="2" t="s">
        <v>92</v>
      </c>
      <c r="J155" s="8" t="n">
        <f aca="false">F155*G155</f>
        <v>159.98</v>
      </c>
      <c r="K155" s="8" t="n">
        <f aca="false">ROUND(J155*Ipoteze!$B$4,2)</f>
        <v>33.6</v>
      </c>
      <c r="L155" s="8" t="n">
        <f aca="false">J155+K155</f>
        <v>193.58</v>
      </c>
      <c r="M155" s="8" t="n">
        <f aca="false">F155*H155</f>
        <v>90</v>
      </c>
      <c r="N155" s="2" t="n">
        <f aca="false">INDEX(Clienti!$E:$E,MATCH(I155,Clienti!$A:$A,0))</f>
        <v>14</v>
      </c>
      <c r="O155" s="19" t="n">
        <f aca="false">B155+N155</f>
        <v>46258</v>
      </c>
      <c r="P155" s="2" t="str">
        <f aca="false">IF(O155&gt;Ipoteze!$B$11,"Neincasat","Incasat")</f>
        <v>Incasat</v>
      </c>
    </row>
    <row r="156" customFormat="false" ht="15" hidden="false" customHeight="false" outlineLevel="0" collapsed="false">
      <c r="A156" s="2" t="s">
        <v>224</v>
      </c>
      <c r="B156" s="19" t="n">
        <v>46244</v>
      </c>
      <c r="C156" s="2" t="s">
        <v>260</v>
      </c>
      <c r="D156" s="2" t="s">
        <v>113</v>
      </c>
      <c r="E156" s="2" t="s">
        <v>114</v>
      </c>
      <c r="F156" s="2" t="n">
        <v>1</v>
      </c>
      <c r="G156" s="8" t="n">
        <v>1199</v>
      </c>
      <c r="H156" s="8" t="n">
        <v>780</v>
      </c>
      <c r="I156" s="2" t="s">
        <v>92</v>
      </c>
      <c r="J156" s="8" t="n">
        <f aca="false">F156*G156</f>
        <v>1199</v>
      </c>
      <c r="K156" s="8" t="n">
        <f aca="false">ROUND(J156*Ipoteze!$B$4,2)</f>
        <v>251.79</v>
      </c>
      <c r="L156" s="8" t="n">
        <f aca="false">J156+K156</f>
        <v>1450.79</v>
      </c>
      <c r="M156" s="8" t="n">
        <f aca="false">F156*H156</f>
        <v>780</v>
      </c>
      <c r="N156" s="2" t="n">
        <f aca="false">INDEX(Clienti!$E:$E,MATCH(I156,Clienti!$A:$A,0))</f>
        <v>14</v>
      </c>
      <c r="O156" s="19" t="n">
        <f aca="false">B156+N156</f>
        <v>46258</v>
      </c>
      <c r="P156" s="2" t="str">
        <f aca="false">IF(O156&gt;Ipoteze!$B$11,"Neincasat","Incasat")</f>
        <v>Incasat</v>
      </c>
    </row>
    <row r="157" customFormat="false" ht="15" hidden="false" customHeight="false" outlineLevel="0" collapsed="false">
      <c r="A157" s="2" t="s">
        <v>224</v>
      </c>
      <c r="B157" s="19" t="n">
        <v>46245</v>
      </c>
      <c r="C157" s="2" t="s">
        <v>261</v>
      </c>
      <c r="D157" s="2" t="s">
        <v>104</v>
      </c>
      <c r="E157" s="2" t="s">
        <v>105</v>
      </c>
      <c r="F157" s="2" t="n">
        <v>16</v>
      </c>
      <c r="G157" s="8" t="n">
        <v>219.5</v>
      </c>
      <c r="H157" s="8" t="n">
        <v>120</v>
      </c>
      <c r="I157" s="2" t="s">
        <v>116</v>
      </c>
      <c r="J157" s="8" t="n">
        <f aca="false">F157*G157</f>
        <v>3512</v>
      </c>
      <c r="K157" s="8" t="n">
        <f aca="false">ROUND(J157*Ipoteze!$B$4,2)</f>
        <v>737.52</v>
      </c>
      <c r="L157" s="8" t="n">
        <f aca="false">J157+K157</f>
        <v>4249.52</v>
      </c>
      <c r="M157" s="8" t="n">
        <f aca="false">F157*H157</f>
        <v>1920</v>
      </c>
      <c r="N157" s="2" t="n">
        <f aca="false">INDEX(Clienti!$E:$E,MATCH(I157,Clienti!$A:$A,0))</f>
        <v>30</v>
      </c>
      <c r="O157" s="19" t="n">
        <f aca="false">B157+N157</f>
        <v>46275</v>
      </c>
      <c r="P157" s="2" t="str">
        <f aca="false">IF(O157&gt;Ipoteze!$B$11,"Neincasat","Incasat")</f>
        <v>Incasat</v>
      </c>
    </row>
    <row r="158" customFormat="false" ht="15" hidden="false" customHeight="false" outlineLevel="0" collapsed="false">
      <c r="A158" s="2" t="s">
        <v>224</v>
      </c>
      <c r="B158" s="19" t="n">
        <v>46245</v>
      </c>
      <c r="C158" s="2" t="s">
        <v>262</v>
      </c>
      <c r="D158" s="2" t="s">
        <v>86</v>
      </c>
      <c r="E158" s="2" t="s">
        <v>87</v>
      </c>
      <c r="F158" s="2" t="n">
        <v>3</v>
      </c>
      <c r="G158" s="8" t="n">
        <v>54.9</v>
      </c>
      <c r="H158" s="8" t="n">
        <v>22</v>
      </c>
      <c r="I158" s="2" t="s">
        <v>110</v>
      </c>
      <c r="J158" s="8" t="n">
        <f aca="false">F158*G158</f>
        <v>164.7</v>
      </c>
      <c r="K158" s="8" t="n">
        <f aca="false">ROUND(J158*Ipoteze!$B$4,2)</f>
        <v>34.59</v>
      </c>
      <c r="L158" s="8" t="n">
        <f aca="false">J158+K158</f>
        <v>199.29</v>
      </c>
      <c r="M158" s="8" t="n">
        <f aca="false">F158*H158</f>
        <v>66</v>
      </c>
      <c r="N158" s="2" t="n">
        <f aca="false">INDEX(Clienti!$E:$E,MATCH(I158,Clienti!$A:$A,0))</f>
        <v>0</v>
      </c>
      <c r="O158" s="19" t="n">
        <f aca="false">B158+N158</f>
        <v>46245</v>
      </c>
      <c r="P158" s="2" t="str">
        <f aca="false">IF(O158&gt;Ipoteze!$B$11,"Neincasat","Incasat")</f>
        <v>Incasat</v>
      </c>
    </row>
    <row r="159" customFormat="false" ht="15" hidden="false" customHeight="false" outlineLevel="0" collapsed="false">
      <c r="A159" s="2" t="s">
        <v>224</v>
      </c>
      <c r="B159" s="19" t="n">
        <v>46245</v>
      </c>
      <c r="C159" s="2" t="s">
        <v>263</v>
      </c>
      <c r="D159" s="2" t="s">
        <v>89</v>
      </c>
      <c r="E159" s="2" t="s">
        <v>87</v>
      </c>
      <c r="F159" s="2" t="n">
        <v>13</v>
      </c>
      <c r="G159" s="8" t="n">
        <v>29.99</v>
      </c>
      <c r="H159" s="8" t="n">
        <v>9</v>
      </c>
      <c r="I159" s="2" t="s">
        <v>125</v>
      </c>
      <c r="J159" s="8" t="n">
        <f aca="false">F159*G159</f>
        <v>389.87</v>
      </c>
      <c r="K159" s="8" t="n">
        <f aca="false">ROUND(J159*Ipoteze!$B$4,2)</f>
        <v>81.87</v>
      </c>
      <c r="L159" s="8" t="n">
        <f aca="false">J159+K159</f>
        <v>471.74</v>
      </c>
      <c r="M159" s="8" t="n">
        <f aca="false">F159*H159</f>
        <v>117</v>
      </c>
      <c r="N159" s="2" t="n">
        <f aca="false">INDEX(Clienti!$E:$E,MATCH(I159,Clienti!$A:$A,0))</f>
        <v>15</v>
      </c>
      <c r="O159" s="19" t="n">
        <f aca="false">B159+N159</f>
        <v>46260</v>
      </c>
      <c r="P159" s="2" t="str">
        <f aca="false">IF(O159&gt;Ipoteze!$B$11,"Neincasat","Incasat")</f>
        <v>Incasat</v>
      </c>
    </row>
    <row r="160" customFormat="false" ht="15" hidden="false" customHeight="false" outlineLevel="0" collapsed="false">
      <c r="A160" s="2" t="s">
        <v>224</v>
      </c>
      <c r="B160" s="19" t="n">
        <v>46245</v>
      </c>
      <c r="C160" s="2" t="s">
        <v>264</v>
      </c>
      <c r="D160" s="2" t="s">
        <v>134</v>
      </c>
      <c r="E160" s="2" t="s">
        <v>105</v>
      </c>
      <c r="F160" s="2" t="n">
        <v>15</v>
      </c>
      <c r="G160" s="8" t="n">
        <v>129.9</v>
      </c>
      <c r="H160" s="8" t="n">
        <v>70</v>
      </c>
      <c r="I160" s="2" t="s">
        <v>80</v>
      </c>
      <c r="J160" s="8" t="n">
        <f aca="false">F160*G160</f>
        <v>1948.5</v>
      </c>
      <c r="K160" s="8" t="n">
        <f aca="false">ROUND(J160*Ipoteze!$B$4,2)</f>
        <v>409.19</v>
      </c>
      <c r="L160" s="8" t="n">
        <f aca="false">J160+K160</f>
        <v>2357.69</v>
      </c>
      <c r="M160" s="8" t="n">
        <f aca="false">F160*H160</f>
        <v>1050</v>
      </c>
      <c r="N160" s="2" t="n">
        <f aca="false">INDEX(Clienti!$E:$E,MATCH(I160,Clienti!$A:$A,0))</f>
        <v>15</v>
      </c>
      <c r="O160" s="19" t="n">
        <f aca="false">B160+N160</f>
        <v>46260</v>
      </c>
      <c r="P160" s="2" t="str">
        <f aca="false">IF(O160&gt;Ipoteze!$B$11,"Neincasat","Incasat")</f>
        <v>Incasat</v>
      </c>
    </row>
    <row r="161" customFormat="false" ht="15" hidden="false" customHeight="false" outlineLevel="0" collapsed="false">
      <c r="A161" s="2" t="s">
        <v>224</v>
      </c>
      <c r="B161" s="19" t="n">
        <v>46246</v>
      </c>
      <c r="C161" s="2" t="s">
        <v>265</v>
      </c>
      <c r="D161" s="2" t="s">
        <v>82</v>
      </c>
      <c r="E161" s="2" t="s">
        <v>83</v>
      </c>
      <c r="F161" s="2" t="n">
        <v>1</v>
      </c>
      <c r="G161" s="8" t="n">
        <v>79.99</v>
      </c>
      <c r="H161" s="8" t="n">
        <v>45</v>
      </c>
      <c r="I161" s="2" t="s">
        <v>84</v>
      </c>
      <c r="J161" s="8" t="n">
        <f aca="false">F161*G161</f>
        <v>79.99</v>
      </c>
      <c r="K161" s="8" t="n">
        <f aca="false">ROUND(J161*Ipoteze!$B$4,2)</f>
        <v>16.8</v>
      </c>
      <c r="L161" s="8" t="n">
        <f aca="false">J161+K161</f>
        <v>96.79</v>
      </c>
      <c r="M161" s="8" t="n">
        <f aca="false">F161*H161</f>
        <v>45</v>
      </c>
      <c r="N161" s="2" t="n">
        <f aca="false">INDEX(Clienti!$E:$E,MATCH(I161,Clienti!$A:$A,0))</f>
        <v>0</v>
      </c>
      <c r="O161" s="19" t="n">
        <f aca="false">B161+N161</f>
        <v>46246</v>
      </c>
      <c r="P161" s="2" t="str">
        <f aca="false">IF(O161&gt;Ipoteze!$B$11,"Neincasat","Incasat")</f>
        <v>Incasat</v>
      </c>
    </row>
    <row r="162" customFormat="false" ht="15" hidden="false" customHeight="false" outlineLevel="0" collapsed="false">
      <c r="A162" s="2" t="s">
        <v>224</v>
      </c>
      <c r="B162" s="19" t="n">
        <v>46246</v>
      </c>
      <c r="C162" s="2" t="s">
        <v>266</v>
      </c>
      <c r="D162" s="2" t="s">
        <v>94</v>
      </c>
      <c r="E162" s="2" t="s">
        <v>79</v>
      </c>
      <c r="F162" s="2" t="n">
        <v>1</v>
      </c>
      <c r="G162" s="8" t="n">
        <v>49.9</v>
      </c>
      <c r="H162" s="8" t="n">
        <v>19</v>
      </c>
      <c r="I162" s="2" t="s">
        <v>84</v>
      </c>
      <c r="J162" s="8" t="n">
        <f aca="false">F162*G162</f>
        <v>49.9</v>
      </c>
      <c r="K162" s="8" t="n">
        <f aca="false">ROUND(J162*Ipoteze!$B$4,2)</f>
        <v>10.48</v>
      </c>
      <c r="L162" s="8" t="n">
        <f aca="false">J162+K162</f>
        <v>60.38</v>
      </c>
      <c r="M162" s="8" t="n">
        <f aca="false">F162*H162</f>
        <v>19</v>
      </c>
      <c r="N162" s="2" t="n">
        <f aca="false">INDEX(Clienti!$E:$E,MATCH(I162,Clienti!$A:$A,0))</f>
        <v>0</v>
      </c>
      <c r="O162" s="19" t="n">
        <f aca="false">B162+N162</f>
        <v>46246</v>
      </c>
      <c r="P162" s="2" t="str">
        <f aca="false">IF(O162&gt;Ipoteze!$B$11,"Neincasat","Incasat")</f>
        <v>Incasat</v>
      </c>
    </row>
    <row r="163" customFormat="false" ht="15" hidden="false" customHeight="false" outlineLevel="0" collapsed="false">
      <c r="A163" s="2" t="s">
        <v>224</v>
      </c>
      <c r="B163" s="19" t="n">
        <v>46246</v>
      </c>
      <c r="C163" s="2" t="s">
        <v>267</v>
      </c>
      <c r="D163" s="2" t="s">
        <v>82</v>
      </c>
      <c r="E163" s="2" t="s">
        <v>83</v>
      </c>
      <c r="F163" s="2" t="n">
        <v>2</v>
      </c>
      <c r="G163" s="8" t="n">
        <v>79.99</v>
      </c>
      <c r="H163" s="8" t="n">
        <v>45</v>
      </c>
      <c r="I163" s="2" t="s">
        <v>92</v>
      </c>
      <c r="J163" s="8" t="n">
        <f aca="false">F163*G163</f>
        <v>159.98</v>
      </c>
      <c r="K163" s="8" t="n">
        <f aca="false">ROUND(J163*Ipoteze!$B$4,2)</f>
        <v>33.6</v>
      </c>
      <c r="L163" s="8" t="n">
        <f aca="false">J163+K163</f>
        <v>193.58</v>
      </c>
      <c r="M163" s="8" t="n">
        <f aca="false">F163*H163</f>
        <v>90</v>
      </c>
      <c r="N163" s="2" t="n">
        <f aca="false">INDEX(Clienti!$E:$E,MATCH(I163,Clienti!$A:$A,0))</f>
        <v>14</v>
      </c>
      <c r="O163" s="19" t="n">
        <f aca="false">B163+N163</f>
        <v>46260</v>
      </c>
      <c r="P163" s="2" t="str">
        <f aca="false">IF(O163&gt;Ipoteze!$B$11,"Neincasat","Incasat")</f>
        <v>Incasat</v>
      </c>
    </row>
    <row r="164" customFormat="false" ht="15" hidden="false" customHeight="false" outlineLevel="0" collapsed="false">
      <c r="A164" s="2" t="s">
        <v>224</v>
      </c>
      <c r="B164" s="19" t="n">
        <v>46247</v>
      </c>
      <c r="C164" s="2" t="s">
        <v>268</v>
      </c>
      <c r="D164" s="2" t="s">
        <v>91</v>
      </c>
      <c r="E164" s="2" t="s">
        <v>79</v>
      </c>
      <c r="F164" s="2" t="n">
        <v>22</v>
      </c>
      <c r="G164" s="8" t="n">
        <v>99</v>
      </c>
      <c r="H164" s="8" t="n">
        <v>48</v>
      </c>
      <c r="I164" s="2" t="s">
        <v>99</v>
      </c>
      <c r="J164" s="8" t="n">
        <f aca="false">F164*G164</f>
        <v>2178</v>
      </c>
      <c r="K164" s="8" t="n">
        <f aca="false">ROUND(J164*Ipoteze!$B$4,2)</f>
        <v>457.38</v>
      </c>
      <c r="L164" s="8" t="n">
        <f aca="false">J164+K164</f>
        <v>2635.38</v>
      </c>
      <c r="M164" s="8" t="n">
        <f aca="false">F164*H164</f>
        <v>1056</v>
      </c>
      <c r="N164" s="2" t="n">
        <f aca="false">INDEX(Clienti!$E:$E,MATCH(I164,Clienti!$A:$A,0))</f>
        <v>30</v>
      </c>
      <c r="O164" s="19" t="n">
        <f aca="false">B164+N164</f>
        <v>46277</v>
      </c>
      <c r="P164" s="2" t="str">
        <f aca="false">IF(O164&gt;Ipoteze!$B$11,"Neincasat","Incasat")</f>
        <v>Incasat</v>
      </c>
    </row>
    <row r="165" customFormat="false" ht="15" hidden="false" customHeight="false" outlineLevel="0" collapsed="false">
      <c r="A165" s="2" t="s">
        <v>224</v>
      </c>
      <c r="B165" s="19" t="n">
        <v>46247</v>
      </c>
      <c r="C165" s="2" t="s">
        <v>269</v>
      </c>
      <c r="D165" s="2" t="s">
        <v>101</v>
      </c>
      <c r="E165" s="2" t="s">
        <v>79</v>
      </c>
      <c r="F165" s="2" t="n">
        <v>22</v>
      </c>
      <c r="G165" s="8" t="n">
        <v>149</v>
      </c>
      <c r="H165" s="8" t="n">
        <v>75</v>
      </c>
      <c r="I165" s="2" t="s">
        <v>99</v>
      </c>
      <c r="J165" s="8" t="n">
        <f aca="false">F165*G165</f>
        <v>3278</v>
      </c>
      <c r="K165" s="8" t="n">
        <f aca="false">ROUND(J165*Ipoteze!$B$4,2)</f>
        <v>688.38</v>
      </c>
      <c r="L165" s="8" t="n">
        <f aca="false">J165+K165</f>
        <v>3966.38</v>
      </c>
      <c r="M165" s="8" t="n">
        <f aca="false">F165*H165</f>
        <v>1650</v>
      </c>
      <c r="N165" s="2" t="n">
        <f aca="false">INDEX(Clienti!$E:$E,MATCH(I165,Clienti!$A:$A,0))</f>
        <v>30</v>
      </c>
      <c r="O165" s="19" t="n">
        <f aca="false">B165+N165</f>
        <v>46277</v>
      </c>
      <c r="P165" s="2" t="str">
        <f aca="false">IF(O165&gt;Ipoteze!$B$11,"Neincasat","Incasat")</f>
        <v>Incasat</v>
      </c>
    </row>
    <row r="166" customFormat="false" ht="15" hidden="false" customHeight="false" outlineLevel="0" collapsed="false">
      <c r="A166" s="2" t="s">
        <v>224</v>
      </c>
      <c r="B166" s="19" t="n">
        <v>46247</v>
      </c>
      <c r="C166" s="2" t="s">
        <v>270</v>
      </c>
      <c r="D166" s="2" t="s">
        <v>134</v>
      </c>
      <c r="E166" s="2" t="s">
        <v>105</v>
      </c>
      <c r="F166" s="2" t="n">
        <v>2</v>
      </c>
      <c r="G166" s="8" t="n">
        <v>129.9</v>
      </c>
      <c r="H166" s="8" t="n">
        <v>70</v>
      </c>
      <c r="I166" s="2" t="s">
        <v>84</v>
      </c>
      <c r="J166" s="8" t="n">
        <f aca="false">F166*G166</f>
        <v>259.8</v>
      </c>
      <c r="K166" s="8" t="n">
        <f aca="false">ROUND(J166*Ipoteze!$B$4,2)</f>
        <v>54.56</v>
      </c>
      <c r="L166" s="8" t="n">
        <f aca="false">J166+K166</f>
        <v>314.36</v>
      </c>
      <c r="M166" s="8" t="n">
        <f aca="false">F166*H166</f>
        <v>140</v>
      </c>
      <c r="N166" s="2" t="n">
        <f aca="false">INDEX(Clienti!$E:$E,MATCH(I166,Clienti!$A:$A,0))</f>
        <v>0</v>
      </c>
      <c r="O166" s="19" t="n">
        <f aca="false">B166+N166</f>
        <v>46247</v>
      </c>
      <c r="P166" s="2" t="str">
        <f aca="false">IF(O166&gt;Ipoteze!$B$11,"Neincasat","Incasat")</f>
        <v>Incasat</v>
      </c>
    </row>
    <row r="167" customFormat="false" ht="15" hidden="false" customHeight="false" outlineLevel="0" collapsed="false">
      <c r="A167" s="2" t="s">
        <v>224</v>
      </c>
      <c r="B167" s="19" t="n">
        <v>46247</v>
      </c>
      <c r="C167" s="2" t="s">
        <v>271</v>
      </c>
      <c r="D167" s="2" t="s">
        <v>86</v>
      </c>
      <c r="E167" s="2" t="s">
        <v>87</v>
      </c>
      <c r="F167" s="2" t="n">
        <v>1</v>
      </c>
      <c r="G167" s="8" t="n">
        <v>54.9</v>
      </c>
      <c r="H167" s="8" t="n">
        <v>22</v>
      </c>
      <c r="I167" s="2" t="s">
        <v>84</v>
      </c>
      <c r="J167" s="8" t="n">
        <f aca="false">F167*G167</f>
        <v>54.9</v>
      </c>
      <c r="K167" s="8" t="n">
        <f aca="false">ROUND(J167*Ipoteze!$B$4,2)</f>
        <v>11.53</v>
      </c>
      <c r="L167" s="8" t="n">
        <f aca="false">J167+K167</f>
        <v>66.43</v>
      </c>
      <c r="M167" s="8" t="n">
        <f aca="false">F167*H167</f>
        <v>22</v>
      </c>
      <c r="N167" s="2" t="n">
        <f aca="false">INDEX(Clienti!$E:$E,MATCH(I167,Clienti!$A:$A,0))</f>
        <v>0</v>
      </c>
      <c r="O167" s="19" t="n">
        <f aca="false">B167+N167</f>
        <v>46247</v>
      </c>
      <c r="P167" s="2" t="str">
        <f aca="false">IF(O167&gt;Ipoteze!$B$11,"Neincasat","Incasat")</f>
        <v>Incasat</v>
      </c>
    </row>
    <row r="168" customFormat="false" ht="15" hidden="false" customHeight="false" outlineLevel="0" collapsed="false">
      <c r="A168" s="2" t="s">
        <v>224</v>
      </c>
      <c r="B168" s="19" t="n">
        <v>46247</v>
      </c>
      <c r="C168" s="2" t="s">
        <v>272</v>
      </c>
      <c r="D168" s="2" t="s">
        <v>86</v>
      </c>
      <c r="E168" s="2" t="s">
        <v>87</v>
      </c>
      <c r="F168" s="2" t="n">
        <v>13</v>
      </c>
      <c r="G168" s="8" t="n">
        <v>54.9</v>
      </c>
      <c r="H168" s="8" t="n">
        <v>22</v>
      </c>
      <c r="I168" s="2" t="s">
        <v>99</v>
      </c>
      <c r="J168" s="8" t="n">
        <f aca="false">F168*G168</f>
        <v>713.7</v>
      </c>
      <c r="K168" s="8" t="n">
        <f aca="false">ROUND(J168*Ipoteze!$B$4,2)</f>
        <v>149.88</v>
      </c>
      <c r="L168" s="8" t="n">
        <f aca="false">J168+K168</f>
        <v>863.58</v>
      </c>
      <c r="M168" s="8" t="n">
        <f aca="false">F168*H168</f>
        <v>286</v>
      </c>
      <c r="N168" s="2" t="n">
        <f aca="false">INDEX(Clienti!$E:$E,MATCH(I168,Clienti!$A:$A,0))</f>
        <v>30</v>
      </c>
      <c r="O168" s="19" t="n">
        <f aca="false">B168+N168</f>
        <v>46277</v>
      </c>
      <c r="P168" s="2" t="str">
        <f aca="false">IF(O168&gt;Ipoteze!$B$11,"Neincasat","Incasat")</f>
        <v>Incasat</v>
      </c>
    </row>
    <row r="169" customFormat="false" ht="15" hidden="false" customHeight="false" outlineLevel="0" collapsed="false">
      <c r="A169" s="2" t="s">
        <v>224</v>
      </c>
      <c r="B169" s="19" t="n">
        <v>46248</v>
      </c>
      <c r="C169" s="2" t="s">
        <v>273</v>
      </c>
      <c r="D169" s="2" t="s">
        <v>101</v>
      </c>
      <c r="E169" s="2" t="s">
        <v>79</v>
      </c>
      <c r="F169" s="2" t="n">
        <v>7</v>
      </c>
      <c r="G169" s="8" t="n">
        <v>149</v>
      </c>
      <c r="H169" s="8" t="n">
        <v>75</v>
      </c>
      <c r="I169" s="2" t="s">
        <v>125</v>
      </c>
      <c r="J169" s="8" t="n">
        <f aca="false">F169*G169</f>
        <v>1043</v>
      </c>
      <c r="K169" s="8" t="n">
        <f aca="false">ROUND(J169*Ipoteze!$B$4,2)</f>
        <v>219.03</v>
      </c>
      <c r="L169" s="8" t="n">
        <f aca="false">J169+K169</f>
        <v>1262.03</v>
      </c>
      <c r="M169" s="8" t="n">
        <f aca="false">F169*H169</f>
        <v>525</v>
      </c>
      <c r="N169" s="2" t="n">
        <f aca="false">INDEX(Clienti!$E:$E,MATCH(I169,Clienti!$A:$A,0))</f>
        <v>15</v>
      </c>
      <c r="O169" s="19" t="n">
        <f aca="false">B169+N169</f>
        <v>46263</v>
      </c>
      <c r="P169" s="2" t="str">
        <f aca="false">IF(O169&gt;Ipoteze!$B$11,"Neincasat","Incasat")</f>
        <v>Incasat</v>
      </c>
    </row>
    <row r="170" customFormat="false" ht="15" hidden="false" customHeight="false" outlineLevel="0" collapsed="false">
      <c r="A170" s="2" t="s">
        <v>224</v>
      </c>
      <c r="B170" s="19" t="n">
        <v>46248</v>
      </c>
      <c r="C170" s="2" t="s">
        <v>274</v>
      </c>
      <c r="D170" s="2" t="s">
        <v>89</v>
      </c>
      <c r="E170" s="2" t="s">
        <v>87</v>
      </c>
      <c r="F170" s="2" t="n">
        <v>1</v>
      </c>
      <c r="G170" s="8" t="n">
        <v>29.99</v>
      </c>
      <c r="H170" s="8" t="n">
        <v>9</v>
      </c>
      <c r="I170" s="2" t="s">
        <v>92</v>
      </c>
      <c r="J170" s="8" t="n">
        <f aca="false">F170*G170</f>
        <v>29.99</v>
      </c>
      <c r="K170" s="8" t="n">
        <f aca="false">ROUND(J170*Ipoteze!$B$4,2)</f>
        <v>6.3</v>
      </c>
      <c r="L170" s="8" t="n">
        <f aca="false">J170+K170</f>
        <v>36.29</v>
      </c>
      <c r="M170" s="8" t="n">
        <f aca="false">F170*H170</f>
        <v>9</v>
      </c>
      <c r="N170" s="2" t="n">
        <f aca="false">INDEX(Clienti!$E:$E,MATCH(I170,Clienti!$A:$A,0))</f>
        <v>14</v>
      </c>
      <c r="O170" s="19" t="n">
        <f aca="false">B170+N170</f>
        <v>46262</v>
      </c>
      <c r="P170" s="2" t="str">
        <f aca="false">IF(O170&gt;Ipoteze!$B$11,"Neincasat","Incasat")</f>
        <v>Incasat</v>
      </c>
    </row>
    <row r="171" customFormat="false" ht="15" hidden="false" customHeight="false" outlineLevel="0" collapsed="false">
      <c r="A171" s="2" t="s">
        <v>224</v>
      </c>
      <c r="B171" s="19" t="n">
        <v>46248</v>
      </c>
      <c r="C171" s="2" t="s">
        <v>275</v>
      </c>
      <c r="D171" s="2" t="s">
        <v>89</v>
      </c>
      <c r="E171" s="2" t="s">
        <v>87</v>
      </c>
      <c r="F171" s="2" t="n">
        <v>8</v>
      </c>
      <c r="G171" s="8" t="n">
        <v>29.99</v>
      </c>
      <c r="H171" s="8" t="n">
        <v>9</v>
      </c>
      <c r="I171" s="2" t="s">
        <v>80</v>
      </c>
      <c r="J171" s="8" t="n">
        <f aca="false">F171*G171</f>
        <v>239.92</v>
      </c>
      <c r="K171" s="8" t="n">
        <f aca="false">ROUND(J171*Ipoteze!$B$4,2)</f>
        <v>50.38</v>
      </c>
      <c r="L171" s="8" t="n">
        <f aca="false">J171+K171</f>
        <v>290.3</v>
      </c>
      <c r="M171" s="8" t="n">
        <f aca="false">F171*H171</f>
        <v>72</v>
      </c>
      <c r="N171" s="2" t="n">
        <f aca="false">INDEX(Clienti!$E:$E,MATCH(I171,Clienti!$A:$A,0))</f>
        <v>15</v>
      </c>
      <c r="O171" s="19" t="n">
        <f aca="false">B171+N171</f>
        <v>46263</v>
      </c>
      <c r="P171" s="2" t="str">
        <f aca="false">IF(O171&gt;Ipoteze!$B$11,"Neincasat","Incasat")</f>
        <v>Incasat</v>
      </c>
    </row>
    <row r="172" customFormat="false" ht="15" hidden="false" customHeight="false" outlineLevel="0" collapsed="false">
      <c r="A172" s="2" t="s">
        <v>224</v>
      </c>
      <c r="B172" s="19" t="n">
        <v>46248</v>
      </c>
      <c r="C172" s="2" t="s">
        <v>276</v>
      </c>
      <c r="D172" s="2" t="s">
        <v>89</v>
      </c>
      <c r="E172" s="2" t="s">
        <v>87</v>
      </c>
      <c r="F172" s="2" t="n">
        <v>2</v>
      </c>
      <c r="G172" s="8" t="n">
        <v>29.99</v>
      </c>
      <c r="H172" s="8" t="n">
        <v>9</v>
      </c>
      <c r="I172" s="2" t="s">
        <v>84</v>
      </c>
      <c r="J172" s="8" t="n">
        <f aca="false">F172*G172</f>
        <v>59.98</v>
      </c>
      <c r="K172" s="8" t="n">
        <f aca="false">ROUND(J172*Ipoteze!$B$4,2)</f>
        <v>12.6</v>
      </c>
      <c r="L172" s="8" t="n">
        <f aca="false">J172+K172</f>
        <v>72.58</v>
      </c>
      <c r="M172" s="8" t="n">
        <f aca="false">F172*H172</f>
        <v>18</v>
      </c>
      <c r="N172" s="2" t="n">
        <f aca="false">INDEX(Clienti!$E:$E,MATCH(I172,Clienti!$A:$A,0))</f>
        <v>0</v>
      </c>
      <c r="O172" s="19" t="n">
        <f aca="false">B172+N172</f>
        <v>46248</v>
      </c>
      <c r="P172" s="2" t="str">
        <f aca="false">IF(O172&gt;Ipoteze!$B$11,"Neincasat","Incasat")</f>
        <v>Incasat</v>
      </c>
    </row>
    <row r="173" customFormat="false" ht="15" hidden="false" customHeight="false" outlineLevel="0" collapsed="false">
      <c r="A173" s="2" t="s">
        <v>224</v>
      </c>
      <c r="B173" s="19" t="n">
        <v>46248</v>
      </c>
      <c r="C173" s="2" t="s">
        <v>277</v>
      </c>
      <c r="D173" s="2" t="s">
        <v>91</v>
      </c>
      <c r="E173" s="2" t="s">
        <v>79</v>
      </c>
      <c r="F173" s="2" t="n">
        <v>3</v>
      </c>
      <c r="G173" s="8" t="n">
        <v>99</v>
      </c>
      <c r="H173" s="8" t="n">
        <v>48</v>
      </c>
      <c r="I173" s="2" t="s">
        <v>110</v>
      </c>
      <c r="J173" s="8" t="n">
        <f aca="false">F173*G173</f>
        <v>297</v>
      </c>
      <c r="K173" s="8" t="n">
        <f aca="false">ROUND(J173*Ipoteze!$B$4,2)</f>
        <v>62.37</v>
      </c>
      <c r="L173" s="8" t="n">
        <f aca="false">J173+K173</f>
        <v>359.37</v>
      </c>
      <c r="M173" s="8" t="n">
        <f aca="false">F173*H173</f>
        <v>144</v>
      </c>
      <c r="N173" s="2" t="n">
        <f aca="false">INDEX(Clienti!$E:$E,MATCH(I173,Clienti!$A:$A,0))</f>
        <v>0</v>
      </c>
      <c r="O173" s="19" t="n">
        <f aca="false">B173+N173</f>
        <v>46248</v>
      </c>
      <c r="P173" s="2" t="str">
        <f aca="false">IF(O173&gt;Ipoteze!$B$11,"Neincasat","Incasat")</f>
        <v>Incasat</v>
      </c>
    </row>
    <row r="174" customFormat="false" ht="15" hidden="false" customHeight="false" outlineLevel="0" collapsed="false">
      <c r="A174" s="2" t="s">
        <v>224</v>
      </c>
      <c r="B174" s="19" t="n">
        <v>46248</v>
      </c>
      <c r="C174" s="2" t="s">
        <v>278</v>
      </c>
      <c r="D174" s="2" t="s">
        <v>134</v>
      </c>
      <c r="E174" s="2" t="s">
        <v>105</v>
      </c>
      <c r="F174" s="2" t="n">
        <v>1</v>
      </c>
      <c r="G174" s="8" t="n">
        <v>129.9</v>
      </c>
      <c r="H174" s="8" t="n">
        <v>70</v>
      </c>
      <c r="I174" s="2" t="s">
        <v>110</v>
      </c>
      <c r="J174" s="8" t="n">
        <f aca="false">F174*G174</f>
        <v>129.9</v>
      </c>
      <c r="K174" s="8" t="n">
        <f aca="false">ROUND(J174*Ipoteze!$B$4,2)</f>
        <v>27.28</v>
      </c>
      <c r="L174" s="8" t="n">
        <f aca="false">J174+K174</f>
        <v>157.18</v>
      </c>
      <c r="M174" s="8" t="n">
        <f aca="false">F174*H174</f>
        <v>70</v>
      </c>
      <c r="N174" s="2" t="n">
        <f aca="false">INDEX(Clienti!$E:$E,MATCH(I174,Clienti!$A:$A,0))</f>
        <v>0</v>
      </c>
      <c r="O174" s="19" t="n">
        <f aca="false">B174+N174</f>
        <v>46248</v>
      </c>
      <c r="P174" s="2" t="str">
        <f aca="false">IF(O174&gt;Ipoteze!$B$11,"Neincasat","Incasat")</f>
        <v>Incasat</v>
      </c>
    </row>
    <row r="175" customFormat="false" ht="15" hidden="false" customHeight="false" outlineLevel="0" collapsed="false">
      <c r="A175" s="2" t="s">
        <v>224</v>
      </c>
      <c r="B175" s="19" t="n">
        <v>46249</v>
      </c>
      <c r="C175" s="2" t="s">
        <v>279</v>
      </c>
      <c r="D175" s="2" t="s">
        <v>89</v>
      </c>
      <c r="E175" s="2" t="s">
        <v>87</v>
      </c>
      <c r="F175" s="2" t="n">
        <v>2</v>
      </c>
      <c r="G175" s="8" t="n">
        <v>29.99</v>
      </c>
      <c r="H175" s="8" t="n">
        <v>9</v>
      </c>
      <c r="I175" s="2" t="s">
        <v>92</v>
      </c>
      <c r="J175" s="8" t="n">
        <f aca="false">F175*G175</f>
        <v>59.98</v>
      </c>
      <c r="K175" s="8" t="n">
        <f aca="false">ROUND(J175*Ipoteze!$B$4,2)</f>
        <v>12.6</v>
      </c>
      <c r="L175" s="8" t="n">
        <f aca="false">J175+K175</f>
        <v>72.58</v>
      </c>
      <c r="M175" s="8" t="n">
        <f aca="false">F175*H175</f>
        <v>18</v>
      </c>
      <c r="N175" s="2" t="n">
        <f aca="false">INDEX(Clienti!$E:$E,MATCH(I175,Clienti!$A:$A,0))</f>
        <v>14</v>
      </c>
      <c r="O175" s="19" t="n">
        <f aca="false">B175+N175</f>
        <v>46263</v>
      </c>
      <c r="P175" s="2" t="str">
        <f aca="false">IF(O175&gt;Ipoteze!$B$11,"Neincasat","Incasat")</f>
        <v>Incasat</v>
      </c>
    </row>
    <row r="176" customFormat="false" ht="15" hidden="false" customHeight="false" outlineLevel="0" collapsed="false">
      <c r="A176" s="2" t="s">
        <v>224</v>
      </c>
      <c r="B176" s="19" t="n">
        <v>46249</v>
      </c>
      <c r="C176" s="2" t="s">
        <v>280</v>
      </c>
      <c r="D176" s="2" t="s">
        <v>134</v>
      </c>
      <c r="E176" s="2" t="s">
        <v>105</v>
      </c>
      <c r="F176" s="2" t="n">
        <v>10</v>
      </c>
      <c r="G176" s="8" t="n">
        <v>129.9</v>
      </c>
      <c r="H176" s="8" t="n">
        <v>70</v>
      </c>
      <c r="I176" s="2" t="s">
        <v>80</v>
      </c>
      <c r="J176" s="8" t="n">
        <f aca="false">F176*G176</f>
        <v>1299</v>
      </c>
      <c r="K176" s="8" t="n">
        <f aca="false">ROUND(J176*Ipoteze!$B$4,2)</f>
        <v>272.79</v>
      </c>
      <c r="L176" s="8" t="n">
        <f aca="false">J176+K176</f>
        <v>1571.79</v>
      </c>
      <c r="M176" s="8" t="n">
        <f aca="false">F176*H176</f>
        <v>700</v>
      </c>
      <c r="N176" s="2" t="n">
        <f aca="false">INDEX(Clienti!$E:$E,MATCH(I176,Clienti!$A:$A,0))</f>
        <v>15</v>
      </c>
      <c r="O176" s="19" t="n">
        <f aca="false">B176+N176</f>
        <v>46264</v>
      </c>
      <c r="P176" s="2" t="str">
        <f aca="false">IF(O176&gt;Ipoteze!$B$11,"Neincasat","Incasat")</f>
        <v>Incasat</v>
      </c>
    </row>
    <row r="177" customFormat="false" ht="15" hidden="false" customHeight="false" outlineLevel="0" collapsed="false">
      <c r="A177" s="2" t="s">
        <v>224</v>
      </c>
      <c r="B177" s="19" t="n">
        <v>46249</v>
      </c>
      <c r="C177" s="2" t="s">
        <v>281</v>
      </c>
      <c r="D177" s="2" t="s">
        <v>89</v>
      </c>
      <c r="E177" s="2" t="s">
        <v>87</v>
      </c>
      <c r="F177" s="2" t="n">
        <v>19</v>
      </c>
      <c r="G177" s="8" t="n">
        <v>29.99</v>
      </c>
      <c r="H177" s="8" t="n">
        <v>9</v>
      </c>
      <c r="I177" s="2" t="s">
        <v>125</v>
      </c>
      <c r="J177" s="8" t="n">
        <f aca="false">F177*G177</f>
        <v>569.81</v>
      </c>
      <c r="K177" s="8" t="n">
        <f aca="false">ROUND(J177*Ipoteze!$B$4,2)</f>
        <v>119.66</v>
      </c>
      <c r="L177" s="8" t="n">
        <f aca="false">J177+K177</f>
        <v>689.47</v>
      </c>
      <c r="M177" s="8" t="n">
        <f aca="false">F177*H177</f>
        <v>171</v>
      </c>
      <c r="N177" s="2" t="n">
        <f aca="false">INDEX(Clienti!$E:$E,MATCH(I177,Clienti!$A:$A,0))</f>
        <v>15</v>
      </c>
      <c r="O177" s="19" t="n">
        <f aca="false">B177+N177</f>
        <v>46264</v>
      </c>
      <c r="P177" s="2" t="str">
        <f aca="false">IF(O177&gt;Ipoteze!$B$11,"Neincasat","Incasat")</f>
        <v>Incasat</v>
      </c>
    </row>
    <row r="178" customFormat="false" ht="15" hidden="false" customHeight="false" outlineLevel="0" collapsed="false">
      <c r="A178" s="2" t="s">
        <v>224</v>
      </c>
      <c r="B178" s="19" t="n">
        <v>46251</v>
      </c>
      <c r="C178" s="2" t="s">
        <v>282</v>
      </c>
      <c r="D178" s="2" t="s">
        <v>134</v>
      </c>
      <c r="E178" s="2" t="s">
        <v>105</v>
      </c>
      <c r="F178" s="2" t="n">
        <v>19</v>
      </c>
      <c r="G178" s="8" t="n">
        <v>129.9</v>
      </c>
      <c r="H178" s="8" t="n">
        <v>70</v>
      </c>
      <c r="I178" s="2" t="s">
        <v>95</v>
      </c>
      <c r="J178" s="8" t="n">
        <f aca="false">F178*G178</f>
        <v>2468.1</v>
      </c>
      <c r="K178" s="8" t="n">
        <f aca="false">ROUND(J178*Ipoteze!$B$4,2)</f>
        <v>518.3</v>
      </c>
      <c r="L178" s="8" t="n">
        <f aca="false">J178+K178</f>
        <v>2986.4</v>
      </c>
      <c r="M178" s="8" t="n">
        <f aca="false">F178*H178</f>
        <v>1330</v>
      </c>
      <c r="N178" s="2" t="n">
        <f aca="false">INDEX(Clienti!$E:$E,MATCH(I178,Clienti!$A:$A,0))</f>
        <v>30</v>
      </c>
      <c r="O178" s="19" t="n">
        <f aca="false">B178+N178</f>
        <v>46281</v>
      </c>
      <c r="P178" s="2" t="str">
        <f aca="false">IF(O178&gt;Ipoteze!$B$11,"Neincasat","Incasat")</f>
        <v>Incasat</v>
      </c>
    </row>
    <row r="179" customFormat="false" ht="15" hidden="false" customHeight="false" outlineLevel="0" collapsed="false">
      <c r="A179" s="2" t="s">
        <v>224</v>
      </c>
      <c r="B179" s="19" t="n">
        <v>46251</v>
      </c>
      <c r="C179" s="2" t="s">
        <v>283</v>
      </c>
      <c r="D179" s="2" t="s">
        <v>101</v>
      </c>
      <c r="E179" s="2" t="s">
        <v>79</v>
      </c>
      <c r="F179" s="2" t="n">
        <v>11</v>
      </c>
      <c r="G179" s="8" t="n">
        <v>149</v>
      </c>
      <c r="H179" s="8" t="n">
        <v>75</v>
      </c>
      <c r="I179" s="2" t="s">
        <v>95</v>
      </c>
      <c r="J179" s="8" t="n">
        <f aca="false">F179*G179</f>
        <v>1639</v>
      </c>
      <c r="K179" s="8" t="n">
        <f aca="false">ROUND(J179*Ipoteze!$B$4,2)</f>
        <v>344.19</v>
      </c>
      <c r="L179" s="8" t="n">
        <f aca="false">J179+K179</f>
        <v>1983.19</v>
      </c>
      <c r="M179" s="8" t="n">
        <f aca="false">F179*H179</f>
        <v>825</v>
      </c>
      <c r="N179" s="2" t="n">
        <f aca="false">INDEX(Clienti!$E:$E,MATCH(I179,Clienti!$A:$A,0))</f>
        <v>30</v>
      </c>
      <c r="O179" s="19" t="n">
        <f aca="false">B179+N179</f>
        <v>46281</v>
      </c>
      <c r="P179" s="2" t="str">
        <f aca="false">IF(O179&gt;Ipoteze!$B$11,"Neincasat","Incasat")</f>
        <v>Incasat</v>
      </c>
    </row>
    <row r="180" customFormat="false" ht="15" hidden="false" customHeight="false" outlineLevel="0" collapsed="false">
      <c r="A180" s="2" t="s">
        <v>224</v>
      </c>
      <c r="B180" s="19" t="n">
        <v>46251</v>
      </c>
      <c r="C180" s="2" t="s">
        <v>284</v>
      </c>
      <c r="D180" s="2" t="s">
        <v>86</v>
      </c>
      <c r="E180" s="2" t="s">
        <v>87</v>
      </c>
      <c r="F180" s="2" t="n">
        <v>1</v>
      </c>
      <c r="G180" s="8" t="n">
        <v>54.9</v>
      </c>
      <c r="H180" s="8" t="n">
        <v>22</v>
      </c>
      <c r="I180" s="2" t="s">
        <v>84</v>
      </c>
      <c r="J180" s="8" t="n">
        <f aca="false">F180*G180</f>
        <v>54.9</v>
      </c>
      <c r="K180" s="8" t="n">
        <f aca="false">ROUND(J180*Ipoteze!$B$4,2)</f>
        <v>11.53</v>
      </c>
      <c r="L180" s="8" t="n">
        <f aca="false">J180+K180</f>
        <v>66.43</v>
      </c>
      <c r="M180" s="8" t="n">
        <f aca="false">F180*H180</f>
        <v>22</v>
      </c>
      <c r="N180" s="2" t="n">
        <f aca="false">INDEX(Clienti!$E:$E,MATCH(I180,Clienti!$A:$A,0))</f>
        <v>0</v>
      </c>
      <c r="O180" s="19" t="n">
        <f aca="false">B180+N180</f>
        <v>46251</v>
      </c>
      <c r="P180" s="2" t="str">
        <f aca="false">IF(O180&gt;Ipoteze!$B$11,"Neincasat","Incasat")</f>
        <v>Incasat</v>
      </c>
    </row>
    <row r="181" customFormat="false" ht="15" hidden="false" customHeight="false" outlineLevel="0" collapsed="false">
      <c r="A181" s="2" t="s">
        <v>224</v>
      </c>
      <c r="B181" s="19" t="n">
        <v>46251</v>
      </c>
      <c r="C181" s="2" t="s">
        <v>285</v>
      </c>
      <c r="D181" s="2" t="s">
        <v>134</v>
      </c>
      <c r="E181" s="2" t="s">
        <v>105</v>
      </c>
      <c r="F181" s="2" t="n">
        <v>10</v>
      </c>
      <c r="G181" s="8" t="n">
        <v>129.9</v>
      </c>
      <c r="H181" s="8" t="n">
        <v>70</v>
      </c>
      <c r="I181" s="2" t="s">
        <v>99</v>
      </c>
      <c r="J181" s="8" t="n">
        <f aca="false">F181*G181</f>
        <v>1299</v>
      </c>
      <c r="K181" s="8" t="n">
        <f aca="false">ROUND(J181*Ipoteze!$B$4,2)</f>
        <v>272.79</v>
      </c>
      <c r="L181" s="8" t="n">
        <f aca="false">J181+K181</f>
        <v>1571.79</v>
      </c>
      <c r="M181" s="8" t="n">
        <f aca="false">F181*H181</f>
        <v>700</v>
      </c>
      <c r="N181" s="2" t="n">
        <f aca="false">INDEX(Clienti!$E:$E,MATCH(I181,Clienti!$A:$A,0))</f>
        <v>30</v>
      </c>
      <c r="O181" s="19" t="n">
        <f aca="false">B181+N181</f>
        <v>46281</v>
      </c>
      <c r="P181" s="2" t="str">
        <f aca="false">IF(O181&gt;Ipoteze!$B$11,"Neincasat","Incasat")</f>
        <v>Incasat</v>
      </c>
    </row>
    <row r="182" customFormat="false" ht="15" hidden="false" customHeight="false" outlineLevel="0" collapsed="false">
      <c r="A182" s="2" t="s">
        <v>224</v>
      </c>
      <c r="B182" s="19" t="n">
        <v>46251</v>
      </c>
      <c r="C182" s="2" t="s">
        <v>286</v>
      </c>
      <c r="D182" s="2" t="s">
        <v>108</v>
      </c>
      <c r="E182" s="2" t="s">
        <v>83</v>
      </c>
      <c r="F182" s="2" t="n">
        <v>3</v>
      </c>
      <c r="G182" s="8" t="n">
        <v>289</v>
      </c>
      <c r="H182" s="8" t="n">
        <v>160</v>
      </c>
      <c r="I182" s="2" t="s">
        <v>84</v>
      </c>
      <c r="J182" s="8" t="n">
        <f aca="false">F182*G182</f>
        <v>867</v>
      </c>
      <c r="K182" s="8" t="n">
        <f aca="false">ROUND(J182*Ipoteze!$B$4,2)</f>
        <v>182.07</v>
      </c>
      <c r="L182" s="8" t="n">
        <f aca="false">J182+K182</f>
        <v>1049.07</v>
      </c>
      <c r="M182" s="8" t="n">
        <f aca="false">F182*H182</f>
        <v>480</v>
      </c>
      <c r="N182" s="2" t="n">
        <f aca="false">INDEX(Clienti!$E:$E,MATCH(I182,Clienti!$A:$A,0))</f>
        <v>0</v>
      </c>
      <c r="O182" s="19" t="n">
        <f aca="false">B182+N182</f>
        <v>46251</v>
      </c>
      <c r="P182" s="2" t="str">
        <f aca="false">IF(O182&gt;Ipoteze!$B$11,"Neincasat","Incasat")</f>
        <v>Incasat</v>
      </c>
    </row>
    <row r="183" customFormat="false" ht="15" hidden="false" customHeight="false" outlineLevel="0" collapsed="false">
      <c r="A183" s="2" t="s">
        <v>224</v>
      </c>
      <c r="B183" s="19" t="n">
        <v>46251</v>
      </c>
      <c r="C183" s="2" t="s">
        <v>287</v>
      </c>
      <c r="D183" s="2" t="s">
        <v>86</v>
      </c>
      <c r="E183" s="2" t="s">
        <v>87</v>
      </c>
      <c r="F183" s="2" t="n">
        <v>2</v>
      </c>
      <c r="G183" s="8" t="n">
        <v>54.9</v>
      </c>
      <c r="H183" s="8" t="n">
        <v>22</v>
      </c>
      <c r="I183" s="2" t="s">
        <v>110</v>
      </c>
      <c r="J183" s="8" t="n">
        <f aca="false">F183*G183</f>
        <v>109.8</v>
      </c>
      <c r="K183" s="8" t="n">
        <f aca="false">ROUND(J183*Ipoteze!$B$4,2)</f>
        <v>23.06</v>
      </c>
      <c r="L183" s="8" t="n">
        <f aca="false">J183+K183</f>
        <v>132.86</v>
      </c>
      <c r="M183" s="8" t="n">
        <f aca="false">F183*H183</f>
        <v>44</v>
      </c>
      <c r="N183" s="2" t="n">
        <f aca="false">INDEX(Clienti!$E:$E,MATCH(I183,Clienti!$A:$A,0))</f>
        <v>0</v>
      </c>
      <c r="O183" s="19" t="n">
        <f aca="false">B183+N183</f>
        <v>46251</v>
      </c>
      <c r="P183" s="2" t="str">
        <f aca="false">IF(O183&gt;Ipoteze!$B$11,"Neincasat","Incasat")</f>
        <v>Incasat</v>
      </c>
    </row>
    <row r="184" customFormat="false" ht="15" hidden="false" customHeight="false" outlineLevel="0" collapsed="false">
      <c r="A184" s="2" t="s">
        <v>224</v>
      </c>
      <c r="B184" s="19" t="n">
        <v>46252</v>
      </c>
      <c r="C184" s="2" t="s">
        <v>288</v>
      </c>
      <c r="D184" s="2" t="s">
        <v>86</v>
      </c>
      <c r="E184" s="2" t="s">
        <v>87</v>
      </c>
      <c r="F184" s="2" t="n">
        <v>1</v>
      </c>
      <c r="G184" s="8" t="n">
        <v>54.9</v>
      </c>
      <c r="H184" s="8" t="n">
        <v>22</v>
      </c>
      <c r="I184" s="2" t="s">
        <v>92</v>
      </c>
      <c r="J184" s="8" t="n">
        <f aca="false">F184*G184</f>
        <v>54.9</v>
      </c>
      <c r="K184" s="8" t="n">
        <f aca="false">ROUND(J184*Ipoteze!$B$4,2)</f>
        <v>11.53</v>
      </c>
      <c r="L184" s="8" t="n">
        <f aca="false">J184+K184</f>
        <v>66.43</v>
      </c>
      <c r="M184" s="8" t="n">
        <f aca="false">F184*H184</f>
        <v>22</v>
      </c>
      <c r="N184" s="2" t="n">
        <f aca="false">INDEX(Clienti!$E:$E,MATCH(I184,Clienti!$A:$A,0))</f>
        <v>14</v>
      </c>
      <c r="O184" s="19" t="n">
        <f aca="false">B184+N184</f>
        <v>46266</v>
      </c>
      <c r="P184" s="2" t="str">
        <f aca="false">IF(O184&gt;Ipoteze!$B$11,"Neincasat","Incasat")</f>
        <v>Incasat</v>
      </c>
    </row>
    <row r="185" customFormat="false" ht="15" hidden="false" customHeight="false" outlineLevel="0" collapsed="false">
      <c r="A185" s="2" t="s">
        <v>224</v>
      </c>
      <c r="B185" s="19" t="n">
        <v>46252</v>
      </c>
      <c r="C185" s="2" t="s">
        <v>289</v>
      </c>
      <c r="D185" s="2" t="s">
        <v>130</v>
      </c>
      <c r="E185" s="2" t="s">
        <v>83</v>
      </c>
      <c r="F185" s="2" t="n">
        <v>1</v>
      </c>
      <c r="G185" s="8" t="n">
        <v>349</v>
      </c>
      <c r="H185" s="8" t="n">
        <v>190</v>
      </c>
      <c r="I185" s="2" t="s">
        <v>84</v>
      </c>
      <c r="J185" s="8" t="n">
        <f aca="false">F185*G185</f>
        <v>349</v>
      </c>
      <c r="K185" s="8" t="n">
        <f aca="false">ROUND(J185*Ipoteze!$B$4,2)</f>
        <v>73.29</v>
      </c>
      <c r="L185" s="8" t="n">
        <f aca="false">J185+K185</f>
        <v>422.29</v>
      </c>
      <c r="M185" s="8" t="n">
        <f aca="false">F185*H185</f>
        <v>190</v>
      </c>
      <c r="N185" s="2" t="n">
        <f aca="false">INDEX(Clienti!$E:$E,MATCH(I185,Clienti!$A:$A,0))</f>
        <v>0</v>
      </c>
      <c r="O185" s="19" t="n">
        <f aca="false">B185+N185</f>
        <v>46252</v>
      </c>
      <c r="P185" s="2" t="str">
        <f aca="false">IF(O185&gt;Ipoteze!$B$11,"Neincasat","Incasat")</f>
        <v>Incasat</v>
      </c>
    </row>
    <row r="186" customFormat="false" ht="15" hidden="false" customHeight="false" outlineLevel="0" collapsed="false">
      <c r="A186" s="2" t="s">
        <v>224</v>
      </c>
      <c r="B186" s="19" t="n">
        <v>46252</v>
      </c>
      <c r="C186" s="2" t="s">
        <v>290</v>
      </c>
      <c r="D186" s="2" t="s">
        <v>101</v>
      </c>
      <c r="E186" s="2" t="s">
        <v>79</v>
      </c>
      <c r="F186" s="2" t="n">
        <v>1</v>
      </c>
      <c r="G186" s="8" t="n">
        <v>149</v>
      </c>
      <c r="H186" s="8" t="n">
        <v>75</v>
      </c>
      <c r="I186" s="2" t="s">
        <v>84</v>
      </c>
      <c r="J186" s="8" t="n">
        <f aca="false">F186*G186</f>
        <v>149</v>
      </c>
      <c r="K186" s="8" t="n">
        <f aca="false">ROUND(J186*Ipoteze!$B$4,2)</f>
        <v>31.29</v>
      </c>
      <c r="L186" s="8" t="n">
        <f aca="false">J186+K186</f>
        <v>180.29</v>
      </c>
      <c r="M186" s="8" t="n">
        <f aca="false">F186*H186</f>
        <v>75</v>
      </c>
      <c r="N186" s="2" t="n">
        <f aca="false">INDEX(Clienti!$E:$E,MATCH(I186,Clienti!$A:$A,0))</f>
        <v>0</v>
      </c>
      <c r="O186" s="19" t="n">
        <f aca="false">B186+N186</f>
        <v>46252</v>
      </c>
      <c r="P186" s="2" t="str">
        <f aca="false">IF(O186&gt;Ipoteze!$B$11,"Neincasat","Incasat")</f>
        <v>Incasat</v>
      </c>
    </row>
    <row r="187" customFormat="false" ht="15" hidden="false" customHeight="false" outlineLevel="0" collapsed="false">
      <c r="A187" s="2" t="s">
        <v>224</v>
      </c>
      <c r="B187" s="19" t="n">
        <v>46252</v>
      </c>
      <c r="C187" s="2" t="s">
        <v>291</v>
      </c>
      <c r="D187" s="2" t="s">
        <v>78</v>
      </c>
      <c r="E187" s="2" t="s">
        <v>79</v>
      </c>
      <c r="F187" s="2" t="n">
        <v>1</v>
      </c>
      <c r="G187" s="8" t="n">
        <v>169</v>
      </c>
      <c r="H187" s="8" t="n">
        <v>85</v>
      </c>
      <c r="I187" s="2" t="s">
        <v>110</v>
      </c>
      <c r="J187" s="8" t="n">
        <f aca="false">F187*G187</f>
        <v>169</v>
      </c>
      <c r="K187" s="8" t="n">
        <f aca="false">ROUND(J187*Ipoteze!$B$4,2)</f>
        <v>35.49</v>
      </c>
      <c r="L187" s="8" t="n">
        <f aca="false">J187+K187</f>
        <v>204.49</v>
      </c>
      <c r="M187" s="8" t="n">
        <f aca="false">F187*H187</f>
        <v>85</v>
      </c>
      <c r="N187" s="2" t="n">
        <f aca="false">INDEX(Clienti!$E:$E,MATCH(I187,Clienti!$A:$A,0))</f>
        <v>0</v>
      </c>
      <c r="O187" s="19" t="n">
        <f aca="false">B187+N187</f>
        <v>46252</v>
      </c>
      <c r="P187" s="2" t="str">
        <f aca="false">IF(O187&gt;Ipoteze!$B$11,"Neincasat","Incasat")</f>
        <v>Incasat</v>
      </c>
    </row>
    <row r="188" customFormat="false" ht="15" hidden="false" customHeight="false" outlineLevel="0" collapsed="false">
      <c r="A188" s="2" t="s">
        <v>224</v>
      </c>
      <c r="B188" s="19" t="n">
        <v>46252</v>
      </c>
      <c r="C188" s="2" t="s">
        <v>292</v>
      </c>
      <c r="D188" s="2" t="s">
        <v>82</v>
      </c>
      <c r="E188" s="2" t="s">
        <v>83</v>
      </c>
      <c r="F188" s="2" t="n">
        <v>19</v>
      </c>
      <c r="G188" s="8" t="n">
        <v>79.99</v>
      </c>
      <c r="H188" s="8" t="n">
        <v>45</v>
      </c>
      <c r="I188" s="2" t="s">
        <v>116</v>
      </c>
      <c r="J188" s="8" t="n">
        <f aca="false">F188*G188</f>
        <v>1519.81</v>
      </c>
      <c r="K188" s="8" t="n">
        <f aca="false">ROUND(J188*Ipoteze!$B$4,2)</f>
        <v>319.16</v>
      </c>
      <c r="L188" s="8" t="n">
        <f aca="false">J188+K188</f>
        <v>1838.97</v>
      </c>
      <c r="M188" s="8" t="n">
        <f aca="false">F188*H188</f>
        <v>855</v>
      </c>
      <c r="N188" s="2" t="n">
        <f aca="false">INDEX(Clienti!$E:$E,MATCH(I188,Clienti!$A:$A,0))</f>
        <v>30</v>
      </c>
      <c r="O188" s="19" t="n">
        <f aca="false">B188+N188</f>
        <v>46282</v>
      </c>
      <c r="P188" s="2" t="str">
        <f aca="false">IF(O188&gt;Ipoteze!$B$11,"Neincasat","Incasat")</f>
        <v>Incasat</v>
      </c>
    </row>
    <row r="189" customFormat="false" ht="15" hidden="false" customHeight="false" outlineLevel="0" collapsed="false">
      <c r="A189" s="2" t="s">
        <v>224</v>
      </c>
      <c r="B189" s="19" t="n">
        <v>46253</v>
      </c>
      <c r="C189" s="2" t="s">
        <v>293</v>
      </c>
      <c r="D189" s="2" t="s">
        <v>94</v>
      </c>
      <c r="E189" s="2" t="s">
        <v>79</v>
      </c>
      <c r="F189" s="2" t="n">
        <v>2</v>
      </c>
      <c r="G189" s="8" t="n">
        <v>49.9</v>
      </c>
      <c r="H189" s="8" t="n">
        <v>19</v>
      </c>
      <c r="I189" s="2" t="s">
        <v>84</v>
      </c>
      <c r="J189" s="8" t="n">
        <f aca="false">F189*G189</f>
        <v>99.8</v>
      </c>
      <c r="K189" s="8" t="n">
        <f aca="false">ROUND(J189*Ipoteze!$B$4,2)</f>
        <v>20.96</v>
      </c>
      <c r="L189" s="8" t="n">
        <f aca="false">J189+K189</f>
        <v>120.76</v>
      </c>
      <c r="M189" s="8" t="n">
        <f aca="false">F189*H189</f>
        <v>38</v>
      </c>
      <c r="N189" s="2" t="n">
        <f aca="false">INDEX(Clienti!$E:$E,MATCH(I189,Clienti!$A:$A,0))</f>
        <v>0</v>
      </c>
      <c r="O189" s="19" t="n">
        <f aca="false">B189+N189</f>
        <v>46253</v>
      </c>
      <c r="P189" s="2" t="str">
        <f aca="false">IF(O189&gt;Ipoteze!$B$11,"Neincasat","Incasat")</f>
        <v>Incasat</v>
      </c>
    </row>
    <row r="190" customFormat="false" ht="15" hidden="false" customHeight="false" outlineLevel="0" collapsed="false">
      <c r="A190" s="2" t="s">
        <v>224</v>
      </c>
      <c r="B190" s="19" t="n">
        <v>46253</v>
      </c>
      <c r="C190" s="2" t="s">
        <v>294</v>
      </c>
      <c r="D190" s="2" t="s">
        <v>124</v>
      </c>
      <c r="E190" s="2" t="s">
        <v>98</v>
      </c>
      <c r="F190" s="2" t="n">
        <v>1</v>
      </c>
      <c r="G190" s="8" t="n">
        <v>39.9</v>
      </c>
      <c r="H190" s="8" t="n">
        <v>18</v>
      </c>
      <c r="I190" s="2" t="s">
        <v>110</v>
      </c>
      <c r="J190" s="8" t="n">
        <f aca="false">F190*G190</f>
        <v>39.9</v>
      </c>
      <c r="K190" s="8" t="n">
        <f aca="false">ROUND(J190*Ipoteze!$B$4,2)</f>
        <v>8.38</v>
      </c>
      <c r="L190" s="8" t="n">
        <f aca="false">J190+K190</f>
        <v>48.28</v>
      </c>
      <c r="M190" s="8" t="n">
        <f aca="false">F190*H190</f>
        <v>18</v>
      </c>
      <c r="N190" s="2" t="n">
        <f aca="false">INDEX(Clienti!$E:$E,MATCH(I190,Clienti!$A:$A,0))</f>
        <v>0</v>
      </c>
      <c r="O190" s="19" t="n">
        <f aca="false">B190+N190</f>
        <v>46253</v>
      </c>
      <c r="P190" s="2" t="str">
        <f aca="false">IF(O190&gt;Ipoteze!$B$11,"Neincasat","Incasat")</f>
        <v>Incasat</v>
      </c>
    </row>
    <row r="191" customFormat="false" ht="15" hidden="false" customHeight="false" outlineLevel="0" collapsed="false">
      <c r="A191" s="2" t="s">
        <v>224</v>
      </c>
      <c r="B191" s="19" t="n">
        <v>46253</v>
      </c>
      <c r="C191" s="2" t="s">
        <v>295</v>
      </c>
      <c r="D191" s="2" t="s">
        <v>113</v>
      </c>
      <c r="E191" s="2" t="s">
        <v>114</v>
      </c>
      <c r="F191" s="2" t="n">
        <v>1</v>
      </c>
      <c r="G191" s="8" t="n">
        <v>1199</v>
      </c>
      <c r="H191" s="8" t="n">
        <v>780</v>
      </c>
      <c r="I191" s="2" t="s">
        <v>110</v>
      </c>
      <c r="J191" s="8" t="n">
        <f aca="false">F191*G191</f>
        <v>1199</v>
      </c>
      <c r="K191" s="8" t="n">
        <f aca="false">ROUND(J191*Ipoteze!$B$4,2)</f>
        <v>251.79</v>
      </c>
      <c r="L191" s="8" t="n">
        <f aca="false">J191+K191</f>
        <v>1450.79</v>
      </c>
      <c r="M191" s="8" t="n">
        <f aca="false">F191*H191</f>
        <v>780</v>
      </c>
      <c r="N191" s="2" t="n">
        <f aca="false">INDEX(Clienti!$E:$E,MATCH(I191,Clienti!$A:$A,0))</f>
        <v>0</v>
      </c>
      <c r="O191" s="19" t="n">
        <f aca="false">B191+N191</f>
        <v>46253</v>
      </c>
      <c r="P191" s="2" t="str">
        <f aca="false">IF(O191&gt;Ipoteze!$B$11,"Neincasat","Incasat")</f>
        <v>Incasat</v>
      </c>
    </row>
    <row r="192" customFormat="false" ht="15" hidden="false" customHeight="false" outlineLevel="0" collapsed="false">
      <c r="A192" s="2" t="s">
        <v>224</v>
      </c>
      <c r="B192" s="19" t="n">
        <v>46253</v>
      </c>
      <c r="C192" s="2" t="s">
        <v>296</v>
      </c>
      <c r="D192" s="2" t="s">
        <v>86</v>
      </c>
      <c r="E192" s="2" t="s">
        <v>87</v>
      </c>
      <c r="F192" s="2" t="n">
        <v>2</v>
      </c>
      <c r="G192" s="8" t="n">
        <v>54.9</v>
      </c>
      <c r="H192" s="8" t="n">
        <v>22</v>
      </c>
      <c r="I192" s="2" t="s">
        <v>110</v>
      </c>
      <c r="J192" s="8" t="n">
        <f aca="false">F192*G192</f>
        <v>109.8</v>
      </c>
      <c r="K192" s="8" t="n">
        <f aca="false">ROUND(J192*Ipoteze!$B$4,2)</f>
        <v>23.06</v>
      </c>
      <c r="L192" s="8" t="n">
        <f aca="false">J192+K192</f>
        <v>132.86</v>
      </c>
      <c r="M192" s="8" t="n">
        <f aca="false">F192*H192</f>
        <v>44</v>
      </c>
      <c r="N192" s="2" t="n">
        <f aca="false">INDEX(Clienti!$E:$E,MATCH(I192,Clienti!$A:$A,0))</f>
        <v>0</v>
      </c>
      <c r="O192" s="19" t="n">
        <f aca="false">B192+N192</f>
        <v>46253</v>
      </c>
      <c r="P192" s="2" t="str">
        <f aca="false">IF(O192&gt;Ipoteze!$B$11,"Neincasat","Incasat")</f>
        <v>Incasat</v>
      </c>
    </row>
    <row r="193" customFormat="false" ht="15" hidden="false" customHeight="false" outlineLevel="0" collapsed="false">
      <c r="A193" s="2" t="s">
        <v>224</v>
      </c>
      <c r="B193" s="19" t="n">
        <v>46253</v>
      </c>
      <c r="C193" s="2" t="s">
        <v>297</v>
      </c>
      <c r="D193" s="2" t="s">
        <v>89</v>
      </c>
      <c r="E193" s="2" t="s">
        <v>87</v>
      </c>
      <c r="F193" s="2" t="n">
        <v>1</v>
      </c>
      <c r="G193" s="8" t="n">
        <v>29.99</v>
      </c>
      <c r="H193" s="8" t="n">
        <v>9</v>
      </c>
      <c r="I193" s="2" t="s">
        <v>110</v>
      </c>
      <c r="J193" s="8" t="n">
        <f aca="false">F193*G193</f>
        <v>29.99</v>
      </c>
      <c r="K193" s="8" t="n">
        <f aca="false">ROUND(J193*Ipoteze!$B$4,2)</f>
        <v>6.3</v>
      </c>
      <c r="L193" s="8" t="n">
        <f aca="false">J193+K193</f>
        <v>36.29</v>
      </c>
      <c r="M193" s="8" t="n">
        <f aca="false">F193*H193</f>
        <v>9</v>
      </c>
      <c r="N193" s="2" t="n">
        <f aca="false">INDEX(Clienti!$E:$E,MATCH(I193,Clienti!$A:$A,0))</f>
        <v>0</v>
      </c>
      <c r="O193" s="19" t="n">
        <f aca="false">B193+N193</f>
        <v>46253</v>
      </c>
      <c r="P193" s="2" t="str">
        <f aca="false">IF(O193&gt;Ipoteze!$B$11,"Neincasat","Incasat")</f>
        <v>Incasat</v>
      </c>
    </row>
    <row r="194" customFormat="false" ht="15" hidden="false" customHeight="false" outlineLevel="0" collapsed="false">
      <c r="A194" s="2" t="s">
        <v>224</v>
      </c>
      <c r="B194" s="19" t="n">
        <v>46254</v>
      </c>
      <c r="C194" s="2" t="s">
        <v>298</v>
      </c>
      <c r="D194" s="2" t="s">
        <v>124</v>
      </c>
      <c r="E194" s="2" t="s">
        <v>98</v>
      </c>
      <c r="F194" s="2" t="n">
        <v>2</v>
      </c>
      <c r="G194" s="8" t="n">
        <v>39.9</v>
      </c>
      <c r="H194" s="8" t="n">
        <v>18</v>
      </c>
      <c r="I194" s="2" t="s">
        <v>84</v>
      </c>
      <c r="J194" s="8" t="n">
        <f aca="false">F194*G194</f>
        <v>79.8</v>
      </c>
      <c r="K194" s="8" t="n">
        <f aca="false">ROUND(J194*Ipoteze!$B$4,2)</f>
        <v>16.76</v>
      </c>
      <c r="L194" s="8" t="n">
        <f aca="false">J194+K194</f>
        <v>96.56</v>
      </c>
      <c r="M194" s="8" t="n">
        <f aca="false">F194*H194</f>
        <v>36</v>
      </c>
      <c r="N194" s="2" t="n">
        <f aca="false">INDEX(Clienti!$E:$E,MATCH(I194,Clienti!$A:$A,0))</f>
        <v>0</v>
      </c>
      <c r="O194" s="19" t="n">
        <f aca="false">B194+N194</f>
        <v>46254</v>
      </c>
      <c r="P194" s="2" t="str">
        <f aca="false">IF(O194&gt;Ipoteze!$B$11,"Neincasat","Incasat")</f>
        <v>Incasat</v>
      </c>
    </row>
    <row r="195" customFormat="false" ht="15" hidden="false" customHeight="false" outlineLevel="0" collapsed="false">
      <c r="A195" s="2" t="s">
        <v>224</v>
      </c>
      <c r="B195" s="19" t="n">
        <v>46254</v>
      </c>
      <c r="C195" s="2" t="s">
        <v>299</v>
      </c>
      <c r="D195" s="2" t="s">
        <v>78</v>
      </c>
      <c r="E195" s="2" t="s">
        <v>79</v>
      </c>
      <c r="F195" s="2" t="n">
        <v>1</v>
      </c>
      <c r="G195" s="8" t="n">
        <v>169</v>
      </c>
      <c r="H195" s="8" t="n">
        <v>85</v>
      </c>
      <c r="I195" s="2" t="s">
        <v>110</v>
      </c>
      <c r="J195" s="8" t="n">
        <f aca="false">F195*G195</f>
        <v>169</v>
      </c>
      <c r="K195" s="8" t="n">
        <f aca="false">ROUND(J195*Ipoteze!$B$4,2)</f>
        <v>35.49</v>
      </c>
      <c r="L195" s="8" t="n">
        <f aca="false">J195+K195</f>
        <v>204.49</v>
      </c>
      <c r="M195" s="8" t="n">
        <f aca="false">F195*H195</f>
        <v>85</v>
      </c>
      <c r="N195" s="2" t="n">
        <f aca="false">INDEX(Clienti!$E:$E,MATCH(I195,Clienti!$A:$A,0))</f>
        <v>0</v>
      </c>
      <c r="O195" s="19" t="n">
        <f aca="false">B195+N195</f>
        <v>46254</v>
      </c>
      <c r="P195" s="2" t="str">
        <f aca="false">IF(O195&gt;Ipoteze!$B$11,"Neincasat","Incasat")</f>
        <v>Incasat</v>
      </c>
    </row>
    <row r="196" customFormat="false" ht="15" hidden="false" customHeight="false" outlineLevel="0" collapsed="false">
      <c r="A196" s="2" t="s">
        <v>224</v>
      </c>
      <c r="B196" s="19" t="n">
        <v>46254</v>
      </c>
      <c r="C196" s="2" t="s">
        <v>300</v>
      </c>
      <c r="D196" s="2" t="s">
        <v>94</v>
      </c>
      <c r="E196" s="2" t="s">
        <v>79</v>
      </c>
      <c r="F196" s="2" t="n">
        <v>2</v>
      </c>
      <c r="G196" s="8" t="n">
        <v>49.9</v>
      </c>
      <c r="H196" s="8" t="n">
        <v>19</v>
      </c>
      <c r="I196" s="2" t="s">
        <v>110</v>
      </c>
      <c r="J196" s="8" t="n">
        <f aca="false">F196*G196</f>
        <v>99.8</v>
      </c>
      <c r="K196" s="8" t="n">
        <f aca="false">ROUND(J196*Ipoteze!$B$4,2)</f>
        <v>20.96</v>
      </c>
      <c r="L196" s="8" t="n">
        <f aca="false">J196+K196</f>
        <v>120.76</v>
      </c>
      <c r="M196" s="8" t="n">
        <f aca="false">F196*H196</f>
        <v>38</v>
      </c>
      <c r="N196" s="2" t="n">
        <f aca="false">INDEX(Clienti!$E:$E,MATCH(I196,Clienti!$A:$A,0))</f>
        <v>0</v>
      </c>
      <c r="O196" s="19" t="n">
        <f aca="false">B196+N196</f>
        <v>46254</v>
      </c>
      <c r="P196" s="2" t="str">
        <f aca="false">IF(O196&gt;Ipoteze!$B$11,"Neincasat","Incasat")</f>
        <v>Incasat</v>
      </c>
    </row>
    <row r="197" customFormat="false" ht="15" hidden="false" customHeight="false" outlineLevel="0" collapsed="false">
      <c r="A197" s="2" t="s">
        <v>224</v>
      </c>
      <c r="B197" s="19" t="n">
        <v>46255</v>
      </c>
      <c r="C197" s="2" t="s">
        <v>301</v>
      </c>
      <c r="D197" s="2" t="s">
        <v>94</v>
      </c>
      <c r="E197" s="2" t="s">
        <v>79</v>
      </c>
      <c r="F197" s="2" t="n">
        <v>1</v>
      </c>
      <c r="G197" s="8" t="n">
        <v>49.9</v>
      </c>
      <c r="H197" s="8" t="n">
        <v>19</v>
      </c>
      <c r="I197" s="2" t="s">
        <v>110</v>
      </c>
      <c r="J197" s="8" t="n">
        <f aca="false">F197*G197</f>
        <v>49.9</v>
      </c>
      <c r="K197" s="8" t="n">
        <f aca="false">ROUND(J197*Ipoteze!$B$4,2)</f>
        <v>10.48</v>
      </c>
      <c r="L197" s="8" t="n">
        <f aca="false">J197+K197</f>
        <v>60.38</v>
      </c>
      <c r="M197" s="8" t="n">
        <f aca="false">F197*H197</f>
        <v>19</v>
      </c>
      <c r="N197" s="2" t="n">
        <f aca="false">INDEX(Clienti!$E:$E,MATCH(I197,Clienti!$A:$A,0))</f>
        <v>0</v>
      </c>
      <c r="O197" s="19" t="n">
        <f aca="false">B197+N197</f>
        <v>46255</v>
      </c>
      <c r="P197" s="2" t="str">
        <f aca="false">IF(O197&gt;Ipoteze!$B$11,"Neincasat","Incasat")</f>
        <v>Incasat</v>
      </c>
    </row>
    <row r="198" customFormat="false" ht="15" hidden="false" customHeight="false" outlineLevel="0" collapsed="false">
      <c r="A198" s="2" t="s">
        <v>224</v>
      </c>
      <c r="B198" s="19" t="n">
        <v>46255</v>
      </c>
      <c r="C198" s="2" t="s">
        <v>302</v>
      </c>
      <c r="D198" s="2" t="s">
        <v>82</v>
      </c>
      <c r="E198" s="2" t="s">
        <v>83</v>
      </c>
      <c r="F198" s="2" t="n">
        <v>12</v>
      </c>
      <c r="G198" s="8" t="n">
        <v>79.99</v>
      </c>
      <c r="H198" s="8" t="n">
        <v>45</v>
      </c>
      <c r="I198" s="2" t="s">
        <v>116</v>
      </c>
      <c r="J198" s="8" t="n">
        <f aca="false">F198*G198</f>
        <v>959.88</v>
      </c>
      <c r="K198" s="8" t="n">
        <f aca="false">ROUND(J198*Ipoteze!$B$4,2)</f>
        <v>201.57</v>
      </c>
      <c r="L198" s="8" t="n">
        <f aca="false">J198+K198</f>
        <v>1161.45</v>
      </c>
      <c r="M198" s="8" t="n">
        <f aca="false">F198*H198</f>
        <v>540</v>
      </c>
      <c r="N198" s="2" t="n">
        <f aca="false">INDEX(Clienti!$E:$E,MATCH(I198,Clienti!$A:$A,0))</f>
        <v>30</v>
      </c>
      <c r="O198" s="19" t="n">
        <f aca="false">B198+N198</f>
        <v>46285</v>
      </c>
      <c r="P198" s="2" t="str">
        <f aca="false">IF(O198&gt;Ipoteze!$B$11,"Neincasat","Incasat")</f>
        <v>Incasat</v>
      </c>
    </row>
    <row r="199" customFormat="false" ht="15" hidden="false" customHeight="false" outlineLevel="0" collapsed="false">
      <c r="A199" s="2" t="s">
        <v>224</v>
      </c>
      <c r="B199" s="19" t="n">
        <v>46255</v>
      </c>
      <c r="C199" s="2" t="s">
        <v>303</v>
      </c>
      <c r="D199" s="2" t="s">
        <v>82</v>
      </c>
      <c r="E199" s="2" t="s">
        <v>83</v>
      </c>
      <c r="F199" s="2" t="n">
        <v>22</v>
      </c>
      <c r="G199" s="8" t="n">
        <v>79.99</v>
      </c>
      <c r="H199" s="8" t="n">
        <v>45</v>
      </c>
      <c r="I199" s="2" t="s">
        <v>99</v>
      </c>
      <c r="J199" s="8" t="n">
        <f aca="false">F199*G199</f>
        <v>1759.78</v>
      </c>
      <c r="K199" s="8" t="n">
        <f aca="false">ROUND(J199*Ipoteze!$B$4,2)</f>
        <v>369.55</v>
      </c>
      <c r="L199" s="8" t="n">
        <f aca="false">J199+K199</f>
        <v>2129.33</v>
      </c>
      <c r="M199" s="8" t="n">
        <f aca="false">F199*H199</f>
        <v>990</v>
      </c>
      <c r="N199" s="2" t="n">
        <f aca="false">INDEX(Clienti!$E:$E,MATCH(I199,Clienti!$A:$A,0))</f>
        <v>30</v>
      </c>
      <c r="O199" s="19" t="n">
        <f aca="false">B199+N199</f>
        <v>46285</v>
      </c>
      <c r="P199" s="2" t="str">
        <f aca="false">IF(O199&gt;Ipoteze!$B$11,"Neincasat","Incasat")</f>
        <v>Incasat</v>
      </c>
    </row>
    <row r="200" customFormat="false" ht="15" hidden="false" customHeight="false" outlineLevel="0" collapsed="false">
      <c r="A200" s="2" t="s">
        <v>224</v>
      </c>
      <c r="B200" s="19" t="n">
        <v>46256</v>
      </c>
      <c r="C200" s="2" t="s">
        <v>304</v>
      </c>
      <c r="D200" s="2" t="s">
        <v>101</v>
      </c>
      <c r="E200" s="2" t="s">
        <v>79</v>
      </c>
      <c r="F200" s="2" t="n">
        <v>1</v>
      </c>
      <c r="G200" s="8" t="n">
        <v>149</v>
      </c>
      <c r="H200" s="8" t="n">
        <v>75</v>
      </c>
      <c r="I200" s="2" t="s">
        <v>92</v>
      </c>
      <c r="J200" s="8" t="n">
        <f aca="false">F200*G200</f>
        <v>149</v>
      </c>
      <c r="K200" s="8" t="n">
        <f aca="false">ROUND(J200*Ipoteze!$B$4,2)</f>
        <v>31.29</v>
      </c>
      <c r="L200" s="8" t="n">
        <f aca="false">J200+K200</f>
        <v>180.29</v>
      </c>
      <c r="M200" s="8" t="n">
        <f aca="false">F200*H200</f>
        <v>75</v>
      </c>
      <c r="N200" s="2" t="n">
        <f aca="false">INDEX(Clienti!$E:$E,MATCH(I200,Clienti!$A:$A,0))</f>
        <v>14</v>
      </c>
      <c r="O200" s="19" t="n">
        <f aca="false">B200+N200</f>
        <v>46270</v>
      </c>
      <c r="P200" s="2" t="str">
        <f aca="false">IF(O200&gt;Ipoteze!$B$11,"Neincasat","Incasat")</f>
        <v>Incasat</v>
      </c>
    </row>
    <row r="201" customFormat="false" ht="15" hidden="false" customHeight="false" outlineLevel="0" collapsed="false">
      <c r="A201" s="2" t="s">
        <v>224</v>
      </c>
      <c r="B201" s="19" t="n">
        <v>46256</v>
      </c>
      <c r="C201" s="2" t="s">
        <v>305</v>
      </c>
      <c r="D201" s="2" t="s">
        <v>101</v>
      </c>
      <c r="E201" s="2" t="s">
        <v>79</v>
      </c>
      <c r="F201" s="2" t="n">
        <v>3</v>
      </c>
      <c r="G201" s="8" t="n">
        <v>149</v>
      </c>
      <c r="H201" s="8" t="n">
        <v>75</v>
      </c>
      <c r="I201" s="2" t="s">
        <v>110</v>
      </c>
      <c r="J201" s="8" t="n">
        <f aca="false">F201*G201</f>
        <v>447</v>
      </c>
      <c r="K201" s="8" t="n">
        <f aca="false">ROUND(J201*Ipoteze!$B$4,2)</f>
        <v>93.87</v>
      </c>
      <c r="L201" s="8" t="n">
        <f aca="false">J201+K201</f>
        <v>540.87</v>
      </c>
      <c r="M201" s="8" t="n">
        <f aca="false">F201*H201</f>
        <v>225</v>
      </c>
      <c r="N201" s="2" t="n">
        <f aca="false">INDEX(Clienti!$E:$E,MATCH(I201,Clienti!$A:$A,0))</f>
        <v>0</v>
      </c>
      <c r="O201" s="19" t="n">
        <f aca="false">B201+N201</f>
        <v>46256</v>
      </c>
      <c r="P201" s="2" t="str">
        <f aca="false">IF(O201&gt;Ipoteze!$B$11,"Neincasat","Incasat")</f>
        <v>Incasat</v>
      </c>
    </row>
    <row r="202" customFormat="false" ht="15" hidden="false" customHeight="false" outlineLevel="0" collapsed="false">
      <c r="A202" s="2" t="s">
        <v>224</v>
      </c>
      <c r="B202" s="19" t="n">
        <v>46256</v>
      </c>
      <c r="C202" s="2" t="s">
        <v>306</v>
      </c>
      <c r="D202" s="2" t="s">
        <v>134</v>
      </c>
      <c r="E202" s="2" t="s">
        <v>105</v>
      </c>
      <c r="F202" s="2" t="n">
        <v>2</v>
      </c>
      <c r="G202" s="8" t="n">
        <v>129.9</v>
      </c>
      <c r="H202" s="8" t="n">
        <v>70</v>
      </c>
      <c r="I202" s="2" t="s">
        <v>110</v>
      </c>
      <c r="J202" s="8" t="n">
        <f aca="false">F202*G202</f>
        <v>259.8</v>
      </c>
      <c r="K202" s="8" t="n">
        <f aca="false">ROUND(J202*Ipoteze!$B$4,2)</f>
        <v>54.56</v>
      </c>
      <c r="L202" s="8" t="n">
        <f aca="false">J202+K202</f>
        <v>314.36</v>
      </c>
      <c r="M202" s="8" t="n">
        <f aca="false">F202*H202</f>
        <v>140</v>
      </c>
      <c r="N202" s="2" t="n">
        <f aca="false">INDEX(Clienti!$E:$E,MATCH(I202,Clienti!$A:$A,0))</f>
        <v>0</v>
      </c>
      <c r="O202" s="19" t="n">
        <f aca="false">B202+N202</f>
        <v>46256</v>
      </c>
      <c r="P202" s="2" t="str">
        <f aca="false">IF(O202&gt;Ipoteze!$B$11,"Neincasat","Incasat")</f>
        <v>Incasat</v>
      </c>
    </row>
    <row r="203" customFormat="false" ht="15" hidden="false" customHeight="false" outlineLevel="0" collapsed="false">
      <c r="A203" s="2" t="s">
        <v>224</v>
      </c>
      <c r="B203" s="19" t="n">
        <v>46256</v>
      </c>
      <c r="C203" s="2" t="s">
        <v>307</v>
      </c>
      <c r="D203" s="2" t="s">
        <v>124</v>
      </c>
      <c r="E203" s="2" t="s">
        <v>98</v>
      </c>
      <c r="F203" s="2" t="n">
        <v>9</v>
      </c>
      <c r="G203" s="8" t="n">
        <v>39.9</v>
      </c>
      <c r="H203" s="8" t="n">
        <v>18</v>
      </c>
      <c r="I203" s="2" t="s">
        <v>116</v>
      </c>
      <c r="J203" s="8" t="n">
        <f aca="false">F203*G203</f>
        <v>359.1</v>
      </c>
      <c r="K203" s="8" t="n">
        <f aca="false">ROUND(J203*Ipoteze!$B$4,2)</f>
        <v>75.41</v>
      </c>
      <c r="L203" s="8" t="n">
        <f aca="false">J203+K203</f>
        <v>434.51</v>
      </c>
      <c r="M203" s="8" t="n">
        <f aca="false">F203*H203</f>
        <v>162</v>
      </c>
      <c r="N203" s="2" t="n">
        <f aca="false">INDEX(Clienti!$E:$E,MATCH(I203,Clienti!$A:$A,0))</f>
        <v>30</v>
      </c>
      <c r="O203" s="19" t="n">
        <f aca="false">B203+N203</f>
        <v>46286</v>
      </c>
      <c r="P203" s="2" t="str">
        <f aca="false">IF(O203&gt;Ipoteze!$B$11,"Neincasat","Incasat")</f>
        <v>Incasat</v>
      </c>
    </row>
    <row r="204" customFormat="false" ht="15" hidden="false" customHeight="false" outlineLevel="0" collapsed="false">
      <c r="A204" s="2" t="s">
        <v>224</v>
      </c>
      <c r="B204" s="19" t="n">
        <v>46256</v>
      </c>
      <c r="C204" s="2" t="s">
        <v>308</v>
      </c>
      <c r="D204" s="2" t="s">
        <v>104</v>
      </c>
      <c r="E204" s="2" t="s">
        <v>105</v>
      </c>
      <c r="F204" s="2" t="n">
        <v>2</v>
      </c>
      <c r="G204" s="8" t="n">
        <v>219.5</v>
      </c>
      <c r="H204" s="8" t="n">
        <v>120</v>
      </c>
      <c r="I204" s="2" t="s">
        <v>84</v>
      </c>
      <c r="J204" s="8" t="n">
        <f aca="false">F204*G204</f>
        <v>439</v>
      </c>
      <c r="K204" s="8" t="n">
        <f aca="false">ROUND(J204*Ipoteze!$B$4,2)</f>
        <v>92.19</v>
      </c>
      <c r="L204" s="8" t="n">
        <f aca="false">J204+K204</f>
        <v>531.19</v>
      </c>
      <c r="M204" s="8" t="n">
        <f aca="false">F204*H204</f>
        <v>240</v>
      </c>
      <c r="N204" s="2" t="n">
        <f aca="false">INDEX(Clienti!$E:$E,MATCH(I204,Clienti!$A:$A,0))</f>
        <v>0</v>
      </c>
      <c r="O204" s="19" t="n">
        <f aca="false">B204+N204</f>
        <v>46256</v>
      </c>
      <c r="P204" s="2" t="str">
        <f aca="false">IF(O204&gt;Ipoteze!$B$11,"Neincasat","Incasat")</f>
        <v>Incasat</v>
      </c>
    </row>
    <row r="205" customFormat="false" ht="15" hidden="false" customHeight="false" outlineLevel="0" collapsed="false">
      <c r="A205" s="2" t="s">
        <v>224</v>
      </c>
      <c r="B205" s="19" t="n">
        <v>46256</v>
      </c>
      <c r="C205" s="2" t="s">
        <v>309</v>
      </c>
      <c r="D205" s="2" t="s">
        <v>101</v>
      </c>
      <c r="E205" s="2" t="s">
        <v>79</v>
      </c>
      <c r="F205" s="2" t="n">
        <v>15</v>
      </c>
      <c r="G205" s="8" t="n">
        <v>149</v>
      </c>
      <c r="H205" s="8" t="n">
        <v>75</v>
      </c>
      <c r="I205" s="2" t="s">
        <v>125</v>
      </c>
      <c r="J205" s="8" t="n">
        <f aca="false">F205*G205</f>
        <v>2235</v>
      </c>
      <c r="K205" s="8" t="n">
        <f aca="false">ROUND(J205*Ipoteze!$B$4,2)</f>
        <v>469.35</v>
      </c>
      <c r="L205" s="8" t="n">
        <f aca="false">J205+K205</f>
        <v>2704.35</v>
      </c>
      <c r="M205" s="8" t="n">
        <f aca="false">F205*H205</f>
        <v>1125</v>
      </c>
      <c r="N205" s="2" t="n">
        <f aca="false">INDEX(Clienti!$E:$E,MATCH(I205,Clienti!$A:$A,0))</f>
        <v>15</v>
      </c>
      <c r="O205" s="19" t="n">
        <f aca="false">B205+N205</f>
        <v>46271</v>
      </c>
      <c r="P205" s="2" t="str">
        <f aca="false">IF(O205&gt;Ipoteze!$B$11,"Neincasat","Incasat")</f>
        <v>Incasat</v>
      </c>
    </row>
    <row r="206" customFormat="false" ht="15" hidden="false" customHeight="false" outlineLevel="0" collapsed="false">
      <c r="A206" s="2" t="s">
        <v>224</v>
      </c>
      <c r="B206" s="19" t="n">
        <v>46258</v>
      </c>
      <c r="C206" s="2" t="s">
        <v>310</v>
      </c>
      <c r="D206" s="2" t="s">
        <v>108</v>
      </c>
      <c r="E206" s="2" t="s">
        <v>83</v>
      </c>
      <c r="F206" s="2" t="n">
        <v>20</v>
      </c>
      <c r="G206" s="8" t="n">
        <v>289</v>
      </c>
      <c r="H206" s="8" t="n">
        <v>160</v>
      </c>
      <c r="I206" s="2" t="s">
        <v>95</v>
      </c>
      <c r="J206" s="8" t="n">
        <f aca="false">F206*G206</f>
        <v>5780</v>
      </c>
      <c r="K206" s="8" t="n">
        <f aca="false">ROUND(J206*Ipoteze!$B$4,2)</f>
        <v>1213.8</v>
      </c>
      <c r="L206" s="8" t="n">
        <f aca="false">J206+K206</f>
        <v>6993.8</v>
      </c>
      <c r="M206" s="8" t="n">
        <f aca="false">F206*H206</f>
        <v>3200</v>
      </c>
      <c r="N206" s="2" t="n">
        <f aca="false">INDEX(Clienti!$E:$E,MATCH(I206,Clienti!$A:$A,0))</f>
        <v>30</v>
      </c>
      <c r="O206" s="19" t="n">
        <f aca="false">B206+N206</f>
        <v>46288</v>
      </c>
      <c r="P206" s="2" t="str">
        <f aca="false">IF(O206&gt;Ipoteze!$B$11,"Neincasat","Incasat")</f>
        <v>Incasat</v>
      </c>
    </row>
    <row r="207" customFormat="false" ht="15" hidden="false" customHeight="false" outlineLevel="0" collapsed="false">
      <c r="A207" s="2" t="s">
        <v>224</v>
      </c>
      <c r="B207" s="19" t="n">
        <v>46258</v>
      </c>
      <c r="C207" s="2" t="s">
        <v>311</v>
      </c>
      <c r="D207" s="2" t="s">
        <v>130</v>
      </c>
      <c r="E207" s="2" t="s">
        <v>83</v>
      </c>
      <c r="F207" s="2" t="n">
        <v>1</v>
      </c>
      <c r="G207" s="8" t="n">
        <v>349</v>
      </c>
      <c r="H207" s="8" t="n">
        <v>190</v>
      </c>
      <c r="I207" s="2" t="s">
        <v>110</v>
      </c>
      <c r="J207" s="8" t="n">
        <f aca="false">F207*G207</f>
        <v>349</v>
      </c>
      <c r="K207" s="8" t="n">
        <f aca="false">ROUND(J207*Ipoteze!$B$4,2)</f>
        <v>73.29</v>
      </c>
      <c r="L207" s="8" t="n">
        <f aca="false">J207+K207</f>
        <v>422.29</v>
      </c>
      <c r="M207" s="8" t="n">
        <f aca="false">F207*H207</f>
        <v>190</v>
      </c>
      <c r="N207" s="2" t="n">
        <f aca="false">INDEX(Clienti!$E:$E,MATCH(I207,Clienti!$A:$A,0))</f>
        <v>0</v>
      </c>
      <c r="O207" s="19" t="n">
        <f aca="false">B207+N207</f>
        <v>46258</v>
      </c>
      <c r="P207" s="2" t="str">
        <f aca="false">IF(O207&gt;Ipoteze!$B$11,"Neincasat","Incasat")</f>
        <v>Incasat</v>
      </c>
    </row>
    <row r="208" customFormat="false" ht="15" hidden="false" customHeight="false" outlineLevel="0" collapsed="false">
      <c r="A208" s="2" t="s">
        <v>224</v>
      </c>
      <c r="B208" s="19" t="n">
        <v>46258</v>
      </c>
      <c r="C208" s="2" t="s">
        <v>312</v>
      </c>
      <c r="D208" s="2" t="s">
        <v>89</v>
      </c>
      <c r="E208" s="2" t="s">
        <v>87</v>
      </c>
      <c r="F208" s="2" t="n">
        <v>3</v>
      </c>
      <c r="G208" s="8" t="n">
        <v>29.99</v>
      </c>
      <c r="H208" s="8" t="n">
        <v>9</v>
      </c>
      <c r="I208" s="2" t="s">
        <v>110</v>
      </c>
      <c r="J208" s="8" t="n">
        <f aca="false">F208*G208</f>
        <v>89.97</v>
      </c>
      <c r="K208" s="8" t="n">
        <f aca="false">ROUND(J208*Ipoteze!$B$4,2)</f>
        <v>18.89</v>
      </c>
      <c r="L208" s="8" t="n">
        <f aca="false">J208+K208</f>
        <v>108.86</v>
      </c>
      <c r="M208" s="8" t="n">
        <f aca="false">F208*H208</f>
        <v>27</v>
      </c>
      <c r="N208" s="2" t="n">
        <f aca="false">INDEX(Clienti!$E:$E,MATCH(I208,Clienti!$A:$A,0))</f>
        <v>0</v>
      </c>
      <c r="O208" s="19" t="n">
        <f aca="false">B208+N208</f>
        <v>46258</v>
      </c>
      <c r="P208" s="2" t="str">
        <f aca="false">IF(O208&gt;Ipoteze!$B$11,"Neincasat","Incasat")</f>
        <v>Incasat</v>
      </c>
    </row>
    <row r="209" customFormat="false" ht="15" hidden="false" customHeight="false" outlineLevel="0" collapsed="false">
      <c r="A209" s="2" t="s">
        <v>224</v>
      </c>
      <c r="B209" s="19" t="n">
        <v>46258</v>
      </c>
      <c r="C209" s="2" t="s">
        <v>313</v>
      </c>
      <c r="D209" s="2" t="s">
        <v>130</v>
      </c>
      <c r="E209" s="2" t="s">
        <v>83</v>
      </c>
      <c r="F209" s="2" t="n">
        <v>1</v>
      </c>
      <c r="G209" s="8" t="n">
        <v>349</v>
      </c>
      <c r="H209" s="8" t="n">
        <v>190</v>
      </c>
      <c r="I209" s="2" t="s">
        <v>92</v>
      </c>
      <c r="J209" s="8" t="n">
        <f aca="false">F209*G209</f>
        <v>349</v>
      </c>
      <c r="K209" s="8" t="n">
        <f aca="false">ROUND(J209*Ipoteze!$B$4,2)</f>
        <v>73.29</v>
      </c>
      <c r="L209" s="8" t="n">
        <f aca="false">J209+K209</f>
        <v>422.29</v>
      </c>
      <c r="M209" s="8" t="n">
        <f aca="false">F209*H209</f>
        <v>190</v>
      </c>
      <c r="N209" s="2" t="n">
        <f aca="false">INDEX(Clienti!$E:$E,MATCH(I209,Clienti!$A:$A,0))</f>
        <v>14</v>
      </c>
      <c r="O209" s="19" t="n">
        <f aca="false">B209+N209</f>
        <v>46272</v>
      </c>
      <c r="P209" s="2" t="str">
        <f aca="false">IF(O209&gt;Ipoteze!$B$11,"Neincasat","Incasat")</f>
        <v>Incasat</v>
      </c>
    </row>
    <row r="210" customFormat="false" ht="15" hidden="false" customHeight="false" outlineLevel="0" collapsed="false">
      <c r="A210" s="2" t="s">
        <v>224</v>
      </c>
      <c r="B210" s="19" t="n">
        <v>46258</v>
      </c>
      <c r="C210" s="2" t="s">
        <v>314</v>
      </c>
      <c r="D210" s="2" t="s">
        <v>91</v>
      </c>
      <c r="E210" s="2" t="s">
        <v>79</v>
      </c>
      <c r="F210" s="2" t="n">
        <v>1</v>
      </c>
      <c r="G210" s="8" t="n">
        <v>99</v>
      </c>
      <c r="H210" s="8" t="n">
        <v>48</v>
      </c>
      <c r="I210" s="2" t="s">
        <v>92</v>
      </c>
      <c r="J210" s="8" t="n">
        <f aca="false">F210*G210</f>
        <v>99</v>
      </c>
      <c r="K210" s="8" t="n">
        <f aca="false">ROUND(J210*Ipoteze!$B$4,2)</f>
        <v>20.79</v>
      </c>
      <c r="L210" s="8" t="n">
        <f aca="false">J210+K210</f>
        <v>119.79</v>
      </c>
      <c r="M210" s="8" t="n">
        <f aca="false">F210*H210</f>
        <v>48</v>
      </c>
      <c r="N210" s="2" t="n">
        <f aca="false">INDEX(Clienti!$E:$E,MATCH(I210,Clienti!$A:$A,0))</f>
        <v>14</v>
      </c>
      <c r="O210" s="19" t="n">
        <f aca="false">B210+N210</f>
        <v>46272</v>
      </c>
      <c r="P210" s="2" t="str">
        <f aca="false">IF(O210&gt;Ipoteze!$B$11,"Neincasat","Incasat")</f>
        <v>Incasat</v>
      </c>
    </row>
    <row r="211" customFormat="false" ht="15" hidden="false" customHeight="false" outlineLevel="0" collapsed="false">
      <c r="A211" s="2" t="s">
        <v>224</v>
      </c>
      <c r="B211" s="19" t="n">
        <v>46259</v>
      </c>
      <c r="C211" s="2" t="s">
        <v>315</v>
      </c>
      <c r="D211" s="2" t="s">
        <v>82</v>
      </c>
      <c r="E211" s="2" t="s">
        <v>83</v>
      </c>
      <c r="F211" s="2" t="n">
        <v>3</v>
      </c>
      <c r="G211" s="8" t="n">
        <v>79.99</v>
      </c>
      <c r="H211" s="8" t="n">
        <v>45</v>
      </c>
      <c r="I211" s="2" t="s">
        <v>110</v>
      </c>
      <c r="J211" s="8" t="n">
        <f aca="false">F211*G211</f>
        <v>239.97</v>
      </c>
      <c r="K211" s="8" t="n">
        <f aca="false">ROUND(J211*Ipoteze!$B$4,2)</f>
        <v>50.39</v>
      </c>
      <c r="L211" s="8" t="n">
        <f aca="false">J211+K211</f>
        <v>290.36</v>
      </c>
      <c r="M211" s="8" t="n">
        <f aca="false">F211*H211</f>
        <v>135</v>
      </c>
      <c r="N211" s="2" t="n">
        <f aca="false">INDEX(Clienti!$E:$E,MATCH(I211,Clienti!$A:$A,0))</f>
        <v>0</v>
      </c>
      <c r="O211" s="19" t="n">
        <f aca="false">B211+N211</f>
        <v>46259</v>
      </c>
      <c r="P211" s="2" t="str">
        <f aca="false">IF(O211&gt;Ipoteze!$B$11,"Neincasat","Incasat")</f>
        <v>Incasat</v>
      </c>
    </row>
    <row r="212" customFormat="false" ht="15" hidden="false" customHeight="false" outlineLevel="0" collapsed="false">
      <c r="A212" s="2" t="s">
        <v>224</v>
      </c>
      <c r="B212" s="19" t="n">
        <v>46259</v>
      </c>
      <c r="C212" s="2" t="s">
        <v>316</v>
      </c>
      <c r="D212" s="2" t="s">
        <v>108</v>
      </c>
      <c r="E212" s="2" t="s">
        <v>83</v>
      </c>
      <c r="F212" s="2" t="n">
        <v>1</v>
      </c>
      <c r="G212" s="8" t="n">
        <v>289</v>
      </c>
      <c r="H212" s="8" t="n">
        <v>160</v>
      </c>
      <c r="I212" s="2" t="s">
        <v>92</v>
      </c>
      <c r="J212" s="8" t="n">
        <f aca="false">F212*G212</f>
        <v>289</v>
      </c>
      <c r="K212" s="8" t="n">
        <f aca="false">ROUND(J212*Ipoteze!$B$4,2)</f>
        <v>60.69</v>
      </c>
      <c r="L212" s="8" t="n">
        <f aca="false">J212+K212</f>
        <v>349.69</v>
      </c>
      <c r="M212" s="8" t="n">
        <f aca="false">F212*H212</f>
        <v>160</v>
      </c>
      <c r="N212" s="2" t="n">
        <f aca="false">INDEX(Clienti!$E:$E,MATCH(I212,Clienti!$A:$A,0))</f>
        <v>14</v>
      </c>
      <c r="O212" s="19" t="n">
        <f aca="false">B212+N212</f>
        <v>46273</v>
      </c>
      <c r="P212" s="2" t="str">
        <f aca="false">IF(O212&gt;Ipoteze!$B$11,"Neincasat","Incasat")</f>
        <v>Incasat</v>
      </c>
    </row>
    <row r="213" customFormat="false" ht="15" hidden="false" customHeight="false" outlineLevel="0" collapsed="false">
      <c r="A213" s="2" t="s">
        <v>224</v>
      </c>
      <c r="B213" s="19" t="n">
        <v>46259</v>
      </c>
      <c r="C213" s="2" t="s">
        <v>317</v>
      </c>
      <c r="D213" s="2" t="s">
        <v>78</v>
      </c>
      <c r="E213" s="2" t="s">
        <v>79</v>
      </c>
      <c r="F213" s="2" t="n">
        <v>1</v>
      </c>
      <c r="G213" s="8" t="n">
        <v>169</v>
      </c>
      <c r="H213" s="8" t="n">
        <v>85</v>
      </c>
      <c r="I213" s="2" t="s">
        <v>84</v>
      </c>
      <c r="J213" s="8" t="n">
        <f aca="false">F213*G213</f>
        <v>169</v>
      </c>
      <c r="K213" s="8" t="n">
        <f aca="false">ROUND(J213*Ipoteze!$B$4,2)</f>
        <v>35.49</v>
      </c>
      <c r="L213" s="8" t="n">
        <f aca="false">J213+K213</f>
        <v>204.49</v>
      </c>
      <c r="M213" s="8" t="n">
        <f aca="false">F213*H213</f>
        <v>85</v>
      </c>
      <c r="N213" s="2" t="n">
        <f aca="false">INDEX(Clienti!$E:$E,MATCH(I213,Clienti!$A:$A,0))</f>
        <v>0</v>
      </c>
      <c r="O213" s="19" t="n">
        <f aca="false">B213+N213</f>
        <v>46259</v>
      </c>
      <c r="P213" s="2" t="str">
        <f aca="false">IF(O213&gt;Ipoteze!$B$11,"Neincasat","Incasat")</f>
        <v>Incasat</v>
      </c>
    </row>
    <row r="214" customFormat="false" ht="15" hidden="false" customHeight="false" outlineLevel="0" collapsed="false">
      <c r="A214" s="2" t="s">
        <v>224</v>
      </c>
      <c r="B214" s="19" t="n">
        <v>46259</v>
      </c>
      <c r="C214" s="2" t="s">
        <v>318</v>
      </c>
      <c r="D214" s="2" t="s">
        <v>101</v>
      </c>
      <c r="E214" s="2" t="s">
        <v>79</v>
      </c>
      <c r="F214" s="2" t="n">
        <v>1</v>
      </c>
      <c r="G214" s="8" t="n">
        <v>149</v>
      </c>
      <c r="H214" s="8" t="n">
        <v>75</v>
      </c>
      <c r="I214" s="2" t="s">
        <v>92</v>
      </c>
      <c r="J214" s="8" t="n">
        <f aca="false">F214*G214</f>
        <v>149</v>
      </c>
      <c r="K214" s="8" t="n">
        <f aca="false">ROUND(J214*Ipoteze!$B$4,2)</f>
        <v>31.29</v>
      </c>
      <c r="L214" s="8" t="n">
        <f aca="false">J214+K214</f>
        <v>180.29</v>
      </c>
      <c r="M214" s="8" t="n">
        <f aca="false">F214*H214</f>
        <v>75</v>
      </c>
      <c r="N214" s="2" t="n">
        <f aca="false">INDEX(Clienti!$E:$E,MATCH(I214,Clienti!$A:$A,0))</f>
        <v>14</v>
      </c>
      <c r="O214" s="19" t="n">
        <f aca="false">B214+N214</f>
        <v>46273</v>
      </c>
      <c r="P214" s="2" t="str">
        <f aca="false">IF(O214&gt;Ipoteze!$B$11,"Neincasat","Incasat")</f>
        <v>Incasat</v>
      </c>
    </row>
    <row r="215" customFormat="false" ht="15" hidden="false" customHeight="false" outlineLevel="0" collapsed="false">
      <c r="A215" s="2" t="s">
        <v>224</v>
      </c>
      <c r="B215" s="19" t="n">
        <v>46259</v>
      </c>
      <c r="C215" s="2" t="s">
        <v>319</v>
      </c>
      <c r="D215" s="2" t="s">
        <v>86</v>
      </c>
      <c r="E215" s="2" t="s">
        <v>87</v>
      </c>
      <c r="F215" s="2" t="n">
        <v>2</v>
      </c>
      <c r="G215" s="8" t="n">
        <v>54.9</v>
      </c>
      <c r="H215" s="8" t="n">
        <v>22</v>
      </c>
      <c r="I215" s="2" t="s">
        <v>110</v>
      </c>
      <c r="J215" s="8" t="n">
        <f aca="false">F215*G215</f>
        <v>109.8</v>
      </c>
      <c r="K215" s="8" t="n">
        <f aca="false">ROUND(J215*Ipoteze!$B$4,2)</f>
        <v>23.06</v>
      </c>
      <c r="L215" s="8" t="n">
        <f aca="false">J215+K215</f>
        <v>132.86</v>
      </c>
      <c r="M215" s="8" t="n">
        <f aca="false">F215*H215</f>
        <v>44</v>
      </c>
      <c r="N215" s="2" t="n">
        <f aca="false">INDEX(Clienti!$E:$E,MATCH(I215,Clienti!$A:$A,0))</f>
        <v>0</v>
      </c>
      <c r="O215" s="19" t="n">
        <f aca="false">B215+N215</f>
        <v>46259</v>
      </c>
      <c r="P215" s="2" t="str">
        <f aca="false">IF(O215&gt;Ipoteze!$B$11,"Neincasat","Incasat")</f>
        <v>Incasat</v>
      </c>
    </row>
    <row r="216" customFormat="false" ht="15" hidden="false" customHeight="false" outlineLevel="0" collapsed="false">
      <c r="A216" s="2" t="s">
        <v>224</v>
      </c>
      <c r="B216" s="19" t="n">
        <v>46259</v>
      </c>
      <c r="C216" s="2" t="s">
        <v>320</v>
      </c>
      <c r="D216" s="2" t="s">
        <v>124</v>
      </c>
      <c r="E216" s="2" t="s">
        <v>98</v>
      </c>
      <c r="F216" s="2" t="n">
        <v>15</v>
      </c>
      <c r="G216" s="8" t="n">
        <v>39.9</v>
      </c>
      <c r="H216" s="8" t="n">
        <v>18</v>
      </c>
      <c r="I216" s="2" t="s">
        <v>95</v>
      </c>
      <c r="J216" s="8" t="n">
        <f aca="false">F216*G216</f>
        <v>598.5</v>
      </c>
      <c r="K216" s="8" t="n">
        <f aca="false">ROUND(J216*Ipoteze!$B$4,2)</f>
        <v>125.69</v>
      </c>
      <c r="L216" s="8" t="n">
        <f aca="false">J216+K216</f>
        <v>724.19</v>
      </c>
      <c r="M216" s="8" t="n">
        <f aca="false">F216*H216</f>
        <v>270</v>
      </c>
      <c r="N216" s="2" t="n">
        <f aca="false">INDEX(Clienti!$E:$E,MATCH(I216,Clienti!$A:$A,0))</f>
        <v>30</v>
      </c>
      <c r="O216" s="19" t="n">
        <f aca="false">B216+N216</f>
        <v>46289</v>
      </c>
      <c r="P216" s="2" t="str">
        <f aca="false">IF(O216&gt;Ipoteze!$B$11,"Neincasat","Incasat")</f>
        <v>Incasat</v>
      </c>
    </row>
    <row r="217" customFormat="false" ht="15" hidden="false" customHeight="false" outlineLevel="0" collapsed="false">
      <c r="A217" s="2" t="s">
        <v>224</v>
      </c>
      <c r="B217" s="19" t="n">
        <v>46260</v>
      </c>
      <c r="C217" s="2" t="s">
        <v>321</v>
      </c>
      <c r="D217" s="2" t="s">
        <v>113</v>
      </c>
      <c r="E217" s="2" t="s">
        <v>114</v>
      </c>
      <c r="F217" s="2" t="n">
        <v>2</v>
      </c>
      <c r="G217" s="8" t="n">
        <v>1199</v>
      </c>
      <c r="H217" s="8" t="n">
        <v>780</v>
      </c>
      <c r="I217" s="2" t="s">
        <v>84</v>
      </c>
      <c r="J217" s="8" t="n">
        <f aca="false">F217*G217</f>
        <v>2398</v>
      </c>
      <c r="K217" s="8" t="n">
        <f aca="false">ROUND(J217*Ipoteze!$B$4,2)</f>
        <v>503.58</v>
      </c>
      <c r="L217" s="8" t="n">
        <f aca="false">J217+K217</f>
        <v>2901.58</v>
      </c>
      <c r="M217" s="8" t="n">
        <f aca="false">F217*H217</f>
        <v>1560</v>
      </c>
      <c r="N217" s="2" t="n">
        <f aca="false">INDEX(Clienti!$E:$E,MATCH(I217,Clienti!$A:$A,0))</f>
        <v>0</v>
      </c>
      <c r="O217" s="19" t="n">
        <f aca="false">B217+N217</f>
        <v>46260</v>
      </c>
      <c r="P217" s="2" t="str">
        <f aca="false">IF(O217&gt;Ipoteze!$B$11,"Neincasat","Incasat")</f>
        <v>Incasat</v>
      </c>
    </row>
    <row r="218" customFormat="false" ht="15" hidden="false" customHeight="false" outlineLevel="0" collapsed="false">
      <c r="A218" s="2" t="s">
        <v>224</v>
      </c>
      <c r="B218" s="19" t="n">
        <v>46260</v>
      </c>
      <c r="C218" s="2" t="s">
        <v>322</v>
      </c>
      <c r="D218" s="2" t="s">
        <v>104</v>
      </c>
      <c r="E218" s="2" t="s">
        <v>105</v>
      </c>
      <c r="F218" s="2" t="n">
        <v>22</v>
      </c>
      <c r="G218" s="8" t="n">
        <v>219.5</v>
      </c>
      <c r="H218" s="8" t="n">
        <v>120</v>
      </c>
      <c r="I218" s="2" t="s">
        <v>125</v>
      </c>
      <c r="J218" s="8" t="n">
        <f aca="false">F218*G218</f>
        <v>4829</v>
      </c>
      <c r="K218" s="8" t="n">
        <f aca="false">ROUND(J218*Ipoteze!$B$4,2)</f>
        <v>1014.09</v>
      </c>
      <c r="L218" s="8" t="n">
        <f aca="false">J218+K218</f>
        <v>5843.09</v>
      </c>
      <c r="M218" s="8" t="n">
        <f aca="false">F218*H218</f>
        <v>2640</v>
      </c>
      <c r="N218" s="2" t="n">
        <f aca="false">INDEX(Clienti!$E:$E,MATCH(I218,Clienti!$A:$A,0))</f>
        <v>15</v>
      </c>
      <c r="O218" s="19" t="n">
        <f aca="false">B218+N218</f>
        <v>46275</v>
      </c>
      <c r="P218" s="2" t="str">
        <f aca="false">IF(O218&gt;Ipoteze!$B$11,"Neincasat","Incasat")</f>
        <v>Incasat</v>
      </c>
    </row>
    <row r="219" customFormat="false" ht="15" hidden="false" customHeight="false" outlineLevel="0" collapsed="false">
      <c r="A219" s="2" t="s">
        <v>224</v>
      </c>
      <c r="B219" s="19" t="n">
        <v>46260</v>
      </c>
      <c r="C219" s="2" t="s">
        <v>323</v>
      </c>
      <c r="D219" s="2" t="s">
        <v>78</v>
      </c>
      <c r="E219" s="2" t="s">
        <v>79</v>
      </c>
      <c r="F219" s="2" t="n">
        <v>12</v>
      </c>
      <c r="G219" s="8" t="n">
        <v>169</v>
      </c>
      <c r="H219" s="8" t="n">
        <v>85</v>
      </c>
      <c r="I219" s="2" t="s">
        <v>95</v>
      </c>
      <c r="J219" s="8" t="n">
        <f aca="false">F219*G219</f>
        <v>2028</v>
      </c>
      <c r="K219" s="8" t="n">
        <f aca="false">ROUND(J219*Ipoteze!$B$4,2)</f>
        <v>425.88</v>
      </c>
      <c r="L219" s="8" t="n">
        <f aca="false">J219+K219</f>
        <v>2453.88</v>
      </c>
      <c r="M219" s="8" t="n">
        <f aca="false">F219*H219</f>
        <v>1020</v>
      </c>
      <c r="N219" s="2" t="n">
        <f aca="false">INDEX(Clienti!$E:$E,MATCH(I219,Clienti!$A:$A,0))</f>
        <v>30</v>
      </c>
      <c r="O219" s="19" t="n">
        <f aca="false">B219+N219</f>
        <v>46290</v>
      </c>
      <c r="P219" s="2" t="str">
        <f aca="false">IF(O219&gt;Ipoteze!$B$11,"Neincasat","Incasat")</f>
        <v>Incasat</v>
      </c>
    </row>
    <row r="220" customFormat="false" ht="15" hidden="false" customHeight="false" outlineLevel="0" collapsed="false">
      <c r="A220" s="2" t="s">
        <v>224</v>
      </c>
      <c r="B220" s="19" t="n">
        <v>46260</v>
      </c>
      <c r="C220" s="2" t="s">
        <v>324</v>
      </c>
      <c r="D220" s="2" t="s">
        <v>82</v>
      </c>
      <c r="E220" s="2" t="s">
        <v>83</v>
      </c>
      <c r="F220" s="2" t="n">
        <v>2</v>
      </c>
      <c r="G220" s="8" t="n">
        <v>79.99</v>
      </c>
      <c r="H220" s="8" t="n">
        <v>45</v>
      </c>
      <c r="I220" s="2" t="s">
        <v>92</v>
      </c>
      <c r="J220" s="8" t="n">
        <f aca="false">F220*G220</f>
        <v>159.98</v>
      </c>
      <c r="K220" s="8" t="n">
        <f aca="false">ROUND(J220*Ipoteze!$B$4,2)</f>
        <v>33.6</v>
      </c>
      <c r="L220" s="8" t="n">
        <f aca="false">J220+K220</f>
        <v>193.58</v>
      </c>
      <c r="M220" s="8" t="n">
        <f aca="false">F220*H220</f>
        <v>90</v>
      </c>
      <c r="N220" s="2" t="n">
        <f aca="false">INDEX(Clienti!$E:$E,MATCH(I220,Clienti!$A:$A,0))</f>
        <v>14</v>
      </c>
      <c r="O220" s="19" t="n">
        <f aca="false">B220+N220</f>
        <v>46274</v>
      </c>
      <c r="P220" s="2" t="str">
        <f aca="false">IF(O220&gt;Ipoteze!$B$11,"Neincasat","Incasat")</f>
        <v>Incasat</v>
      </c>
    </row>
    <row r="221" customFormat="false" ht="15" hidden="false" customHeight="false" outlineLevel="0" collapsed="false">
      <c r="A221" s="2" t="s">
        <v>224</v>
      </c>
      <c r="B221" s="19" t="n">
        <v>46260</v>
      </c>
      <c r="C221" s="2" t="s">
        <v>325</v>
      </c>
      <c r="D221" s="2" t="s">
        <v>82</v>
      </c>
      <c r="E221" s="2" t="s">
        <v>83</v>
      </c>
      <c r="F221" s="2" t="n">
        <v>14</v>
      </c>
      <c r="G221" s="8" t="n">
        <v>79.99</v>
      </c>
      <c r="H221" s="8" t="n">
        <v>45</v>
      </c>
      <c r="I221" s="2" t="s">
        <v>80</v>
      </c>
      <c r="J221" s="8" t="n">
        <f aca="false">F221*G221</f>
        <v>1119.86</v>
      </c>
      <c r="K221" s="8" t="n">
        <f aca="false">ROUND(J221*Ipoteze!$B$4,2)</f>
        <v>235.17</v>
      </c>
      <c r="L221" s="8" t="n">
        <f aca="false">J221+K221</f>
        <v>1355.03</v>
      </c>
      <c r="M221" s="8" t="n">
        <f aca="false">F221*H221</f>
        <v>630</v>
      </c>
      <c r="N221" s="2" t="n">
        <f aca="false">INDEX(Clienti!$E:$E,MATCH(I221,Clienti!$A:$A,0))</f>
        <v>15</v>
      </c>
      <c r="O221" s="19" t="n">
        <f aca="false">B221+N221</f>
        <v>46275</v>
      </c>
      <c r="P221" s="2" t="str">
        <f aca="false">IF(O221&gt;Ipoteze!$B$11,"Neincasat","Incasat")</f>
        <v>Incasat</v>
      </c>
    </row>
    <row r="222" customFormat="false" ht="15" hidden="false" customHeight="false" outlineLevel="0" collapsed="false">
      <c r="A222" s="2" t="s">
        <v>224</v>
      </c>
      <c r="B222" s="19" t="n">
        <v>46260</v>
      </c>
      <c r="C222" s="2" t="s">
        <v>326</v>
      </c>
      <c r="D222" s="2" t="s">
        <v>97</v>
      </c>
      <c r="E222" s="2" t="s">
        <v>98</v>
      </c>
      <c r="F222" s="2" t="n">
        <v>14</v>
      </c>
      <c r="G222" s="8" t="n">
        <v>449</v>
      </c>
      <c r="H222" s="8" t="n">
        <v>290</v>
      </c>
      <c r="I222" s="2" t="s">
        <v>99</v>
      </c>
      <c r="J222" s="8" t="n">
        <f aca="false">F222*G222</f>
        <v>6286</v>
      </c>
      <c r="K222" s="8" t="n">
        <f aca="false">ROUND(J222*Ipoteze!$B$4,2)</f>
        <v>1320.06</v>
      </c>
      <c r="L222" s="8" t="n">
        <f aca="false">J222+K222</f>
        <v>7606.06</v>
      </c>
      <c r="M222" s="8" t="n">
        <f aca="false">F222*H222</f>
        <v>4060</v>
      </c>
      <c r="N222" s="2" t="n">
        <f aca="false">INDEX(Clienti!$E:$E,MATCH(I222,Clienti!$A:$A,0))</f>
        <v>30</v>
      </c>
      <c r="O222" s="19" t="n">
        <f aca="false">B222+N222</f>
        <v>46290</v>
      </c>
      <c r="P222" s="2" t="str">
        <f aca="false">IF(O222&gt;Ipoteze!$B$11,"Neincasat","Incasat")</f>
        <v>Incasat</v>
      </c>
    </row>
    <row r="223" customFormat="false" ht="15" hidden="false" customHeight="false" outlineLevel="0" collapsed="false">
      <c r="A223" s="2" t="s">
        <v>224</v>
      </c>
      <c r="B223" s="19" t="n">
        <v>46261</v>
      </c>
      <c r="C223" s="2" t="s">
        <v>327</v>
      </c>
      <c r="D223" s="2" t="s">
        <v>104</v>
      </c>
      <c r="E223" s="2" t="s">
        <v>105</v>
      </c>
      <c r="F223" s="2" t="n">
        <v>18</v>
      </c>
      <c r="G223" s="8" t="n">
        <v>219.5</v>
      </c>
      <c r="H223" s="8" t="n">
        <v>120</v>
      </c>
      <c r="I223" s="2" t="s">
        <v>116</v>
      </c>
      <c r="J223" s="8" t="n">
        <f aca="false">F223*G223</f>
        <v>3951</v>
      </c>
      <c r="K223" s="8" t="n">
        <f aca="false">ROUND(J223*Ipoteze!$B$4,2)</f>
        <v>829.71</v>
      </c>
      <c r="L223" s="8" t="n">
        <f aca="false">J223+K223</f>
        <v>4780.71</v>
      </c>
      <c r="M223" s="8" t="n">
        <f aca="false">F223*H223</f>
        <v>2160</v>
      </c>
      <c r="N223" s="2" t="n">
        <f aca="false">INDEX(Clienti!$E:$E,MATCH(I223,Clienti!$A:$A,0))</f>
        <v>30</v>
      </c>
      <c r="O223" s="19" t="n">
        <f aca="false">B223+N223</f>
        <v>46291</v>
      </c>
      <c r="P223" s="2" t="str">
        <f aca="false">IF(O223&gt;Ipoteze!$B$11,"Neincasat","Incasat")</f>
        <v>Incasat</v>
      </c>
    </row>
    <row r="224" customFormat="false" ht="15" hidden="false" customHeight="false" outlineLevel="0" collapsed="false">
      <c r="A224" s="2" t="s">
        <v>224</v>
      </c>
      <c r="B224" s="19" t="n">
        <v>46261</v>
      </c>
      <c r="C224" s="2" t="s">
        <v>328</v>
      </c>
      <c r="D224" s="2" t="s">
        <v>89</v>
      </c>
      <c r="E224" s="2" t="s">
        <v>87</v>
      </c>
      <c r="F224" s="2" t="n">
        <v>1</v>
      </c>
      <c r="G224" s="8" t="n">
        <v>29.99</v>
      </c>
      <c r="H224" s="8" t="n">
        <v>9</v>
      </c>
      <c r="I224" s="2" t="s">
        <v>92</v>
      </c>
      <c r="J224" s="8" t="n">
        <f aca="false">F224*G224</f>
        <v>29.99</v>
      </c>
      <c r="K224" s="8" t="n">
        <f aca="false">ROUND(J224*Ipoteze!$B$4,2)</f>
        <v>6.3</v>
      </c>
      <c r="L224" s="8" t="n">
        <f aca="false">J224+K224</f>
        <v>36.29</v>
      </c>
      <c r="M224" s="8" t="n">
        <f aca="false">F224*H224</f>
        <v>9</v>
      </c>
      <c r="N224" s="2" t="n">
        <f aca="false">INDEX(Clienti!$E:$E,MATCH(I224,Clienti!$A:$A,0))</f>
        <v>14</v>
      </c>
      <c r="O224" s="19" t="n">
        <f aca="false">B224+N224</f>
        <v>46275</v>
      </c>
      <c r="P224" s="2" t="str">
        <f aca="false">IF(O224&gt;Ipoteze!$B$11,"Neincasat","Incasat")</f>
        <v>Incasat</v>
      </c>
    </row>
    <row r="225" customFormat="false" ht="15" hidden="false" customHeight="false" outlineLevel="0" collapsed="false">
      <c r="A225" s="2" t="s">
        <v>224</v>
      </c>
      <c r="B225" s="19" t="n">
        <v>46261</v>
      </c>
      <c r="C225" s="2" t="s">
        <v>329</v>
      </c>
      <c r="D225" s="2" t="s">
        <v>89</v>
      </c>
      <c r="E225" s="2" t="s">
        <v>87</v>
      </c>
      <c r="F225" s="2" t="n">
        <v>1</v>
      </c>
      <c r="G225" s="8" t="n">
        <v>29.99</v>
      </c>
      <c r="H225" s="8" t="n">
        <v>9</v>
      </c>
      <c r="I225" s="2" t="s">
        <v>84</v>
      </c>
      <c r="J225" s="8" t="n">
        <f aca="false">F225*G225</f>
        <v>29.99</v>
      </c>
      <c r="K225" s="8" t="n">
        <f aca="false">ROUND(J225*Ipoteze!$B$4,2)</f>
        <v>6.3</v>
      </c>
      <c r="L225" s="8" t="n">
        <f aca="false">J225+K225</f>
        <v>36.29</v>
      </c>
      <c r="M225" s="8" t="n">
        <f aca="false">F225*H225</f>
        <v>9</v>
      </c>
      <c r="N225" s="2" t="n">
        <f aca="false">INDEX(Clienti!$E:$E,MATCH(I225,Clienti!$A:$A,0))</f>
        <v>0</v>
      </c>
      <c r="O225" s="19" t="n">
        <f aca="false">B225+N225</f>
        <v>46261</v>
      </c>
      <c r="P225" s="2" t="str">
        <f aca="false">IF(O225&gt;Ipoteze!$B$11,"Neincasat","Incasat")</f>
        <v>Incasat</v>
      </c>
    </row>
    <row r="226" customFormat="false" ht="15" hidden="false" customHeight="false" outlineLevel="0" collapsed="false">
      <c r="A226" s="2" t="s">
        <v>224</v>
      </c>
      <c r="B226" s="19" t="n">
        <v>46261</v>
      </c>
      <c r="C226" s="2" t="s">
        <v>330</v>
      </c>
      <c r="D226" s="2" t="s">
        <v>97</v>
      </c>
      <c r="E226" s="2" t="s">
        <v>98</v>
      </c>
      <c r="F226" s="2" t="n">
        <v>13</v>
      </c>
      <c r="G226" s="8" t="n">
        <v>449</v>
      </c>
      <c r="H226" s="8" t="n">
        <v>290</v>
      </c>
      <c r="I226" s="2" t="s">
        <v>125</v>
      </c>
      <c r="J226" s="8" t="n">
        <f aca="false">F226*G226</f>
        <v>5837</v>
      </c>
      <c r="K226" s="8" t="n">
        <f aca="false">ROUND(J226*Ipoteze!$B$4,2)</f>
        <v>1225.77</v>
      </c>
      <c r="L226" s="8" t="n">
        <f aca="false">J226+K226</f>
        <v>7062.77</v>
      </c>
      <c r="M226" s="8" t="n">
        <f aca="false">F226*H226</f>
        <v>3770</v>
      </c>
      <c r="N226" s="2" t="n">
        <f aca="false">INDEX(Clienti!$E:$E,MATCH(I226,Clienti!$A:$A,0))</f>
        <v>15</v>
      </c>
      <c r="O226" s="19" t="n">
        <f aca="false">B226+N226</f>
        <v>46276</v>
      </c>
      <c r="P226" s="2" t="str">
        <f aca="false">IF(O226&gt;Ipoteze!$B$11,"Neincasat","Incasat")</f>
        <v>Incasat</v>
      </c>
    </row>
    <row r="227" customFormat="false" ht="15" hidden="false" customHeight="false" outlineLevel="0" collapsed="false">
      <c r="A227" s="2" t="s">
        <v>224</v>
      </c>
      <c r="B227" s="19" t="n">
        <v>46261</v>
      </c>
      <c r="C227" s="2" t="s">
        <v>331</v>
      </c>
      <c r="D227" s="2" t="s">
        <v>86</v>
      </c>
      <c r="E227" s="2" t="s">
        <v>87</v>
      </c>
      <c r="F227" s="2" t="n">
        <v>3</v>
      </c>
      <c r="G227" s="8" t="n">
        <v>54.9</v>
      </c>
      <c r="H227" s="8" t="n">
        <v>22</v>
      </c>
      <c r="I227" s="2" t="s">
        <v>110</v>
      </c>
      <c r="J227" s="8" t="n">
        <f aca="false">F227*G227</f>
        <v>164.7</v>
      </c>
      <c r="K227" s="8" t="n">
        <f aca="false">ROUND(J227*Ipoteze!$B$4,2)</f>
        <v>34.59</v>
      </c>
      <c r="L227" s="8" t="n">
        <f aca="false">J227+K227</f>
        <v>199.29</v>
      </c>
      <c r="M227" s="8" t="n">
        <f aca="false">F227*H227</f>
        <v>66</v>
      </c>
      <c r="N227" s="2" t="n">
        <f aca="false">INDEX(Clienti!$E:$E,MATCH(I227,Clienti!$A:$A,0))</f>
        <v>0</v>
      </c>
      <c r="O227" s="19" t="n">
        <f aca="false">B227+N227</f>
        <v>46261</v>
      </c>
      <c r="P227" s="2" t="str">
        <f aca="false">IF(O227&gt;Ipoteze!$B$11,"Neincasat","Incasat")</f>
        <v>Incasat</v>
      </c>
    </row>
    <row r="228" customFormat="false" ht="15" hidden="false" customHeight="false" outlineLevel="0" collapsed="false">
      <c r="A228" s="2" t="s">
        <v>224</v>
      </c>
      <c r="B228" s="19" t="n">
        <v>46262</v>
      </c>
      <c r="C228" s="2" t="s">
        <v>332</v>
      </c>
      <c r="D228" s="2" t="s">
        <v>101</v>
      </c>
      <c r="E228" s="2" t="s">
        <v>79</v>
      </c>
      <c r="F228" s="2" t="n">
        <v>1</v>
      </c>
      <c r="G228" s="8" t="n">
        <v>149</v>
      </c>
      <c r="H228" s="8" t="n">
        <v>75</v>
      </c>
      <c r="I228" s="2" t="s">
        <v>84</v>
      </c>
      <c r="J228" s="8" t="n">
        <f aca="false">F228*G228</f>
        <v>149</v>
      </c>
      <c r="K228" s="8" t="n">
        <f aca="false">ROUND(J228*Ipoteze!$B$4,2)</f>
        <v>31.29</v>
      </c>
      <c r="L228" s="8" t="n">
        <f aca="false">J228+K228</f>
        <v>180.29</v>
      </c>
      <c r="M228" s="8" t="n">
        <f aca="false">F228*H228</f>
        <v>75</v>
      </c>
      <c r="N228" s="2" t="n">
        <f aca="false">INDEX(Clienti!$E:$E,MATCH(I228,Clienti!$A:$A,0))</f>
        <v>0</v>
      </c>
      <c r="O228" s="19" t="n">
        <f aca="false">B228+N228</f>
        <v>46262</v>
      </c>
      <c r="P228" s="2" t="str">
        <f aca="false">IF(O228&gt;Ipoteze!$B$11,"Neincasat","Incasat")</f>
        <v>Incasat</v>
      </c>
    </row>
    <row r="229" customFormat="false" ht="15" hidden="false" customHeight="false" outlineLevel="0" collapsed="false">
      <c r="A229" s="2" t="s">
        <v>224</v>
      </c>
      <c r="B229" s="19" t="n">
        <v>46262</v>
      </c>
      <c r="C229" s="2" t="s">
        <v>333</v>
      </c>
      <c r="D229" s="2" t="s">
        <v>97</v>
      </c>
      <c r="E229" s="2" t="s">
        <v>98</v>
      </c>
      <c r="F229" s="2" t="n">
        <v>2</v>
      </c>
      <c r="G229" s="8" t="n">
        <v>449</v>
      </c>
      <c r="H229" s="8" t="n">
        <v>290</v>
      </c>
      <c r="I229" s="2" t="s">
        <v>110</v>
      </c>
      <c r="J229" s="8" t="n">
        <f aca="false">F229*G229</f>
        <v>898</v>
      </c>
      <c r="K229" s="8" t="n">
        <f aca="false">ROUND(J229*Ipoteze!$B$4,2)</f>
        <v>188.58</v>
      </c>
      <c r="L229" s="8" t="n">
        <f aca="false">J229+K229</f>
        <v>1086.58</v>
      </c>
      <c r="M229" s="8" t="n">
        <f aca="false">F229*H229</f>
        <v>580</v>
      </c>
      <c r="N229" s="2" t="n">
        <f aca="false">INDEX(Clienti!$E:$E,MATCH(I229,Clienti!$A:$A,0))</f>
        <v>0</v>
      </c>
      <c r="O229" s="19" t="n">
        <f aca="false">B229+N229</f>
        <v>46262</v>
      </c>
      <c r="P229" s="2" t="str">
        <f aca="false">IF(O229&gt;Ipoteze!$B$11,"Neincasat","Incasat")</f>
        <v>Incasat</v>
      </c>
    </row>
    <row r="230" customFormat="false" ht="15" hidden="false" customHeight="false" outlineLevel="0" collapsed="false">
      <c r="A230" s="2" t="s">
        <v>224</v>
      </c>
      <c r="B230" s="19" t="n">
        <v>46262</v>
      </c>
      <c r="C230" s="2" t="s">
        <v>334</v>
      </c>
      <c r="D230" s="2" t="s">
        <v>94</v>
      </c>
      <c r="E230" s="2" t="s">
        <v>79</v>
      </c>
      <c r="F230" s="2" t="n">
        <v>1</v>
      </c>
      <c r="G230" s="8" t="n">
        <v>49.9</v>
      </c>
      <c r="H230" s="8" t="n">
        <v>19</v>
      </c>
      <c r="I230" s="2" t="s">
        <v>110</v>
      </c>
      <c r="J230" s="8" t="n">
        <f aca="false">F230*G230</f>
        <v>49.9</v>
      </c>
      <c r="K230" s="8" t="n">
        <f aca="false">ROUND(J230*Ipoteze!$B$4,2)</f>
        <v>10.48</v>
      </c>
      <c r="L230" s="8" t="n">
        <f aca="false">J230+K230</f>
        <v>60.38</v>
      </c>
      <c r="M230" s="8" t="n">
        <f aca="false">F230*H230</f>
        <v>19</v>
      </c>
      <c r="N230" s="2" t="n">
        <f aca="false">INDEX(Clienti!$E:$E,MATCH(I230,Clienti!$A:$A,0))</f>
        <v>0</v>
      </c>
      <c r="O230" s="19" t="n">
        <f aca="false">B230+N230</f>
        <v>46262</v>
      </c>
      <c r="P230" s="2" t="str">
        <f aca="false">IF(O230&gt;Ipoteze!$B$11,"Neincasat","Incasat")</f>
        <v>Incasat</v>
      </c>
    </row>
    <row r="231" customFormat="false" ht="15" hidden="false" customHeight="false" outlineLevel="0" collapsed="false">
      <c r="A231" s="2" t="s">
        <v>224</v>
      </c>
      <c r="B231" s="19" t="n">
        <v>46262</v>
      </c>
      <c r="C231" s="2" t="s">
        <v>335</v>
      </c>
      <c r="D231" s="2" t="s">
        <v>104</v>
      </c>
      <c r="E231" s="2" t="s">
        <v>105</v>
      </c>
      <c r="F231" s="2" t="n">
        <v>14</v>
      </c>
      <c r="G231" s="8" t="n">
        <v>219.5</v>
      </c>
      <c r="H231" s="8" t="n">
        <v>120</v>
      </c>
      <c r="I231" s="2" t="s">
        <v>95</v>
      </c>
      <c r="J231" s="8" t="n">
        <f aca="false">F231*G231</f>
        <v>3073</v>
      </c>
      <c r="K231" s="8" t="n">
        <f aca="false">ROUND(J231*Ipoteze!$B$4,2)</f>
        <v>645.33</v>
      </c>
      <c r="L231" s="8" t="n">
        <f aca="false">J231+K231</f>
        <v>3718.33</v>
      </c>
      <c r="M231" s="8" t="n">
        <f aca="false">F231*H231</f>
        <v>1680</v>
      </c>
      <c r="N231" s="2" t="n">
        <f aca="false">INDEX(Clienti!$E:$E,MATCH(I231,Clienti!$A:$A,0))</f>
        <v>30</v>
      </c>
      <c r="O231" s="19" t="n">
        <f aca="false">B231+N231</f>
        <v>46292</v>
      </c>
      <c r="P231" s="2" t="str">
        <f aca="false">IF(O231&gt;Ipoteze!$B$11,"Neincasat","Incasat")</f>
        <v>Incasat</v>
      </c>
    </row>
    <row r="232" customFormat="false" ht="15" hidden="false" customHeight="false" outlineLevel="0" collapsed="false">
      <c r="A232" s="2" t="s">
        <v>224</v>
      </c>
      <c r="B232" s="19" t="n">
        <v>46263</v>
      </c>
      <c r="C232" s="2" t="s">
        <v>336</v>
      </c>
      <c r="D232" s="2" t="s">
        <v>124</v>
      </c>
      <c r="E232" s="2" t="s">
        <v>98</v>
      </c>
      <c r="F232" s="2" t="n">
        <v>1</v>
      </c>
      <c r="G232" s="8" t="n">
        <v>39.9</v>
      </c>
      <c r="H232" s="8" t="n">
        <v>18</v>
      </c>
      <c r="I232" s="2" t="s">
        <v>110</v>
      </c>
      <c r="J232" s="8" t="n">
        <f aca="false">F232*G232</f>
        <v>39.9</v>
      </c>
      <c r="K232" s="8" t="n">
        <f aca="false">ROUND(J232*Ipoteze!$B$4,2)</f>
        <v>8.38</v>
      </c>
      <c r="L232" s="8" t="n">
        <f aca="false">J232+K232</f>
        <v>48.28</v>
      </c>
      <c r="M232" s="8" t="n">
        <f aca="false">F232*H232</f>
        <v>18</v>
      </c>
      <c r="N232" s="2" t="n">
        <f aca="false">INDEX(Clienti!$E:$E,MATCH(I232,Clienti!$A:$A,0))</f>
        <v>0</v>
      </c>
      <c r="O232" s="19" t="n">
        <f aca="false">B232+N232</f>
        <v>46263</v>
      </c>
      <c r="P232" s="2" t="str">
        <f aca="false">IF(O232&gt;Ipoteze!$B$11,"Neincasat","Incasat")</f>
        <v>Incasat</v>
      </c>
    </row>
    <row r="233" customFormat="false" ht="15" hidden="false" customHeight="false" outlineLevel="0" collapsed="false">
      <c r="A233" s="2" t="s">
        <v>224</v>
      </c>
      <c r="B233" s="19" t="n">
        <v>46263</v>
      </c>
      <c r="C233" s="2" t="s">
        <v>337</v>
      </c>
      <c r="D233" s="2" t="s">
        <v>130</v>
      </c>
      <c r="E233" s="2" t="s">
        <v>83</v>
      </c>
      <c r="F233" s="2" t="n">
        <v>3</v>
      </c>
      <c r="G233" s="8" t="n">
        <v>349</v>
      </c>
      <c r="H233" s="8" t="n">
        <v>190</v>
      </c>
      <c r="I233" s="2" t="s">
        <v>92</v>
      </c>
      <c r="J233" s="8" t="n">
        <f aca="false">F233*G233</f>
        <v>1047</v>
      </c>
      <c r="K233" s="8" t="n">
        <f aca="false">ROUND(J233*Ipoteze!$B$4,2)</f>
        <v>219.87</v>
      </c>
      <c r="L233" s="8" t="n">
        <f aca="false">J233+K233</f>
        <v>1266.87</v>
      </c>
      <c r="M233" s="8" t="n">
        <f aca="false">F233*H233</f>
        <v>570</v>
      </c>
      <c r="N233" s="2" t="n">
        <f aca="false">INDEX(Clienti!$E:$E,MATCH(I233,Clienti!$A:$A,0))</f>
        <v>14</v>
      </c>
      <c r="O233" s="19" t="n">
        <f aca="false">B233+N233</f>
        <v>46277</v>
      </c>
      <c r="P233" s="2" t="str">
        <f aca="false">IF(O233&gt;Ipoteze!$B$11,"Neincasat","Incasat")</f>
        <v>Incasat</v>
      </c>
    </row>
    <row r="234" customFormat="false" ht="15" hidden="false" customHeight="false" outlineLevel="0" collapsed="false">
      <c r="A234" s="2" t="s">
        <v>224</v>
      </c>
      <c r="B234" s="19" t="n">
        <v>46263</v>
      </c>
      <c r="C234" s="2" t="s">
        <v>338</v>
      </c>
      <c r="D234" s="2" t="s">
        <v>82</v>
      </c>
      <c r="E234" s="2" t="s">
        <v>83</v>
      </c>
      <c r="F234" s="2" t="n">
        <v>2</v>
      </c>
      <c r="G234" s="8" t="n">
        <v>79.99</v>
      </c>
      <c r="H234" s="8" t="n">
        <v>45</v>
      </c>
      <c r="I234" s="2" t="s">
        <v>110</v>
      </c>
      <c r="J234" s="8" t="n">
        <f aca="false">F234*G234</f>
        <v>159.98</v>
      </c>
      <c r="K234" s="8" t="n">
        <f aca="false">ROUND(J234*Ipoteze!$B$4,2)</f>
        <v>33.6</v>
      </c>
      <c r="L234" s="8" t="n">
        <f aca="false">J234+K234</f>
        <v>193.58</v>
      </c>
      <c r="M234" s="8" t="n">
        <f aca="false">F234*H234</f>
        <v>90</v>
      </c>
      <c r="N234" s="2" t="n">
        <f aca="false">INDEX(Clienti!$E:$E,MATCH(I234,Clienti!$A:$A,0))</f>
        <v>0</v>
      </c>
      <c r="O234" s="19" t="n">
        <f aca="false">B234+N234</f>
        <v>46263</v>
      </c>
      <c r="P234" s="2" t="str">
        <f aca="false">IF(O234&gt;Ipoteze!$B$11,"Neincasat","Incasat")</f>
        <v>Incasat</v>
      </c>
    </row>
    <row r="235" customFormat="false" ht="15" hidden="false" customHeight="false" outlineLevel="0" collapsed="false">
      <c r="A235" s="2" t="s">
        <v>224</v>
      </c>
      <c r="B235" s="19" t="n">
        <v>46265</v>
      </c>
      <c r="C235" s="2" t="s">
        <v>339</v>
      </c>
      <c r="D235" s="2" t="s">
        <v>89</v>
      </c>
      <c r="E235" s="2" t="s">
        <v>87</v>
      </c>
      <c r="F235" s="2" t="n">
        <v>13</v>
      </c>
      <c r="G235" s="8" t="n">
        <v>29.99</v>
      </c>
      <c r="H235" s="8" t="n">
        <v>9</v>
      </c>
      <c r="I235" s="2" t="s">
        <v>80</v>
      </c>
      <c r="J235" s="8" t="n">
        <f aca="false">F235*G235</f>
        <v>389.87</v>
      </c>
      <c r="K235" s="8" t="n">
        <f aca="false">ROUND(J235*Ipoteze!$B$4,2)</f>
        <v>81.87</v>
      </c>
      <c r="L235" s="8" t="n">
        <f aca="false">J235+K235</f>
        <v>471.74</v>
      </c>
      <c r="M235" s="8" t="n">
        <f aca="false">F235*H235</f>
        <v>117</v>
      </c>
      <c r="N235" s="2" t="n">
        <f aca="false">INDEX(Clienti!$E:$E,MATCH(I235,Clienti!$A:$A,0))</f>
        <v>15</v>
      </c>
      <c r="O235" s="19" t="n">
        <f aca="false">B235+N235</f>
        <v>46280</v>
      </c>
      <c r="P235" s="2" t="str">
        <f aca="false">IF(O235&gt;Ipoteze!$B$11,"Neincasat","Incasat")</f>
        <v>Incasat</v>
      </c>
    </row>
    <row r="236" customFormat="false" ht="15" hidden="false" customHeight="false" outlineLevel="0" collapsed="false">
      <c r="A236" s="2" t="s">
        <v>224</v>
      </c>
      <c r="B236" s="19" t="n">
        <v>46265</v>
      </c>
      <c r="C236" s="2" t="s">
        <v>340</v>
      </c>
      <c r="D236" s="2" t="s">
        <v>113</v>
      </c>
      <c r="E236" s="2" t="s">
        <v>114</v>
      </c>
      <c r="F236" s="2" t="n">
        <v>2</v>
      </c>
      <c r="G236" s="8" t="n">
        <v>1199</v>
      </c>
      <c r="H236" s="8" t="n">
        <v>780</v>
      </c>
      <c r="I236" s="2" t="s">
        <v>84</v>
      </c>
      <c r="J236" s="8" t="n">
        <f aca="false">F236*G236</f>
        <v>2398</v>
      </c>
      <c r="K236" s="8" t="n">
        <f aca="false">ROUND(J236*Ipoteze!$B$4,2)</f>
        <v>503.58</v>
      </c>
      <c r="L236" s="8" t="n">
        <f aca="false">J236+K236</f>
        <v>2901.58</v>
      </c>
      <c r="M236" s="8" t="n">
        <f aca="false">F236*H236</f>
        <v>1560</v>
      </c>
      <c r="N236" s="2" t="n">
        <f aca="false">INDEX(Clienti!$E:$E,MATCH(I236,Clienti!$A:$A,0))</f>
        <v>0</v>
      </c>
      <c r="O236" s="19" t="n">
        <f aca="false">B236+N236</f>
        <v>46265</v>
      </c>
      <c r="P236" s="2" t="str">
        <f aca="false">IF(O236&gt;Ipoteze!$B$11,"Neincasat","Incasat")</f>
        <v>Incasat</v>
      </c>
    </row>
    <row r="237" customFormat="false" ht="15" hidden="false" customHeight="false" outlineLevel="0" collapsed="false">
      <c r="A237" s="2" t="s">
        <v>224</v>
      </c>
      <c r="B237" s="19" t="n">
        <v>46265</v>
      </c>
      <c r="C237" s="2" t="s">
        <v>341</v>
      </c>
      <c r="D237" s="2" t="s">
        <v>101</v>
      </c>
      <c r="E237" s="2" t="s">
        <v>79</v>
      </c>
      <c r="F237" s="2" t="n">
        <v>14</v>
      </c>
      <c r="G237" s="8" t="n">
        <v>149</v>
      </c>
      <c r="H237" s="8" t="n">
        <v>75</v>
      </c>
      <c r="I237" s="2" t="s">
        <v>99</v>
      </c>
      <c r="J237" s="8" t="n">
        <f aca="false">F237*G237</f>
        <v>2086</v>
      </c>
      <c r="K237" s="8" t="n">
        <f aca="false">ROUND(J237*Ipoteze!$B$4,2)</f>
        <v>438.06</v>
      </c>
      <c r="L237" s="8" t="n">
        <f aca="false">J237+K237</f>
        <v>2524.06</v>
      </c>
      <c r="M237" s="8" t="n">
        <f aca="false">F237*H237</f>
        <v>1050</v>
      </c>
      <c r="N237" s="2" t="n">
        <f aca="false">INDEX(Clienti!$E:$E,MATCH(I237,Clienti!$A:$A,0))</f>
        <v>30</v>
      </c>
      <c r="O237" s="19" t="n">
        <f aca="false">B237+N237</f>
        <v>46295</v>
      </c>
      <c r="P237" s="2" t="str">
        <f aca="false">IF(O237&gt;Ipoteze!$B$11,"Neincasat","Incasat")</f>
        <v>Incasat</v>
      </c>
    </row>
    <row r="238" customFormat="false" ht="15" hidden="false" customHeight="false" outlineLevel="0" collapsed="false">
      <c r="A238" s="2" t="s">
        <v>224</v>
      </c>
      <c r="B238" s="19" t="n">
        <v>46265</v>
      </c>
      <c r="C238" s="2" t="s">
        <v>342</v>
      </c>
      <c r="D238" s="2" t="s">
        <v>108</v>
      </c>
      <c r="E238" s="2" t="s">
        <v>83</v>
      </c>
      <c r="F238" s="2" t="n">
        <v>9</v>
      </c>
      <c r="G238" s="8" t="n">
        <v>289</v>
      </c>
      <c r="H238" s="8" t="n">
        <v>160</v>
      </c>
      <c r="I238" s="2" t="s">
        <v>95</v>
      </c>
      <c r="J238" s="8" t="n">
        <f aca="false">F238*G238</f>
        <v>2601</v>
      </c>
      <c r="K238" s="8" t="n">
        <f aca="false">ROUND(J238*Ipoteze!$B$4,2)</f>
        <v>546.21</v>
      </c>
      <c r="L238" s="8" t="n">
        <f aca="false">J238+K238</f>
        <v>3147.21</v>
      </c>
      <c r="M238" s="8" t="n">
        <f aca="false">F238*H238</f>
        <v>1440</v>
      </c>
      <c r="N238" s="2" t="n">
        <f aca="false">INDEX(Clienti!$E:$E,MATCH(I238,Clienti!$A:$A,0))</f>
        <v>30</v>
      </c>
      <c r="O238" s="19" t="n">
        <f aca="false">B238+N238</f>
        <v>46295</v>
      </c>
      <c r="P238" s="2" t="str">
        <f aca="false">IF(O238&gt;Ipoteze!$B$11,"Neincasat","Incasat")</f>
        <v>Incasat</v>
      </c>
    </row>
    <row r="239" customFormat="false" ht="15" hidden="false" customHeight="false" outlineLevel="0" collapsed="false">
      <c r="A239" s="2" t="s">
        <v>343</v>
      </c>
      <c r="B239" s="19" t="n">
        <v>46266</v>
      </c>
      <c r="C239" s="2" t="s">
        <v>344</v>
      </c>
      <c r="D239" s="2" t="s">
        <v>89</v>
      </c>
      <c r="E239" s="2" t="s">
        <v>87</v>
      </c>
      <c r="F239" s="2" t="n">
        <v>7</v>
      </c>
      <c r="G239" s="8" t="n">
        <v>29.99</v>
      </c>
      <c r="H239" s="8" t="n">
        <v>9</v>
      </c>
      <c r="I239" s="2" t="s">
        <v>99</v>
      </c>
      <c r="J239" s="8" t="n">
        <f aca="false">F239*G239</f>
        <v>209.93</v>
      </c>
      <c r="K239" s="8" t="n">
        <f aca="false">ROUND(J239*Ipoteze!$B$4,2)</f>
        <v>44.09</v>
      </c>
      <c r="L239" s="8" t="n">
        <f aca="false">J239+K239</f>
        <v>254.02</v>
      </c>
      <c r="M239" s="8" t="n">
        <f aca="false">F239*H239</f>
        <v>63</v>
      </c>
      <c r="N239" s="2" t="n">
        <f aca="false">INDEX(Clienti!$E:$E,MATCH(I239,Clienti!$A:$A,0))</f>
        <v>30</v>
      </c>
      <c r="O239" s="19" t="n">
        <f aca="false">B239+N239</f>
        <v>46296</v>
      </c>
      <c r="P239" s="2" t="str">
        <f aca="false">IF(O239&gt;Ipoteze!$B$11,"Neincasat","Incasat")</f>
        <v>Neincasat</v>
      </c>
    </row>
    <row r="240" customFormat="false" ht="15" hidden="false" customHeight="false" outlineLevel="0" collapsed="false">
      <c r="A240" s="2" t="s">
        <v>343</v>
      </c>
      <c r="B240" s="19" t="n">
        <v>46266</v>
      </c>
      <c r="C240" s="2" t="s">
        <v>345</v>
      </c>
      <c r="D240" s="2" t="s">
        <v>130</v>
      </c>
      <c r="E240" s="2" t="s">
        <v>83</v>
      </c>
      <c r="F240" s="2" t="n">
        <v>2</v>
      </c>
      <c r="G240" s="8" t="n">
        <v>349</v>
      </c>
      <c r="H240" s="8" t="n">
        <v>190</v>
      </c>
      <c r="I240" s="2" t="s">
        <v>92</v>
      </c>
      <c r="J240" s="8" t="n">
        <f aca="false">F240*G240</f>
        <v>698</v>
      </c>
      <c r="K240" s="8" t="n">
        <f aca="false">ROUND(J240*Ipoteze!$B$4,2)</f>
        <v>146.58</v>
      </c>
      <c r="L240" s="8" t="n">
        <f aca="false">J240+K240</f>
        <v>844.58</v>
      </c>
      <c r="M240" s="8" t="n">
        <f aca="false">F240*H240</f>
        <v>380</v>
      </c>
      <c r="N240" s="2" t="n">
        <f aca="false">INDEX(Clienti!$E:$E,MATCH(I240,Clienti!$A:$A,0))</f>
        <v>14</v>
      </c>
      <c r="O240" s="19" t="n">
        <f aca="false">B240+N240</f>
        <v>46280</v>
      </c>
      <c r="P240" s="2" t="str">
        <f aca="false">IF(O240&gt;Ipoteze!$B$11,"Neincasat","Incasat")</f>
        <v>Incasat</v>
      </c>
    </row>
    <row r="241" customFormat="false" ht="15" hidden="false" customHeight="false" outlineLevel="0" collapsed="false">
      <c r="A241" s="2" t="s">
        <v>343</v>
      </c>
      <c r="B241" s="19" t="n">
        <v>46266</v>
      </c>
      <c r="C241" s="2" t="s">
        <v>346</v>
      </c>
      <c r="D241" s="2" t="s">
        <v>134</v>
      </c>
      <c r="E241" s="2" t="s">
        <v>105</v>
      </c>
      <c r="F241" s="2" t="n">
        <v>1</v>
      </c>
      <c r="G241" s="8" t="n">
        <v>129.9</v>
      </c>
      <c r="H241" s="8" t="n">
        <v>70</v>
      </c>
      <c r="I241" s="2" t="s">
        <v>84</v>
      </c>
      <c r="J241" s="8" t="n">
        <f aca="false">F241*G241</f>
        <v>129.9</v>
      </c>
      <c r="K241" s="8" t="n">
        <f aca="false">ROUND(J241*Ipoteze!$B$4,2)</f>
        <v>27.28</v>
      </c>
      <c r="L241" s="8" t="n">
        <f aca="false">J241+K241</f>
        <v>157.18</v>
      </c>
      <c r="M241" s="8" t="n">
        <f aca="false">F241*H241</f>
        <v>70</v>
      </c>
      <c r="N241" s="2" t="n">
        <f aca="false">INDEX(Clienti!$E:$E,MATCH(I241,Clienti!$A:$A,0))</f>
        <v>0</v>
      </c>
      <c r="O241" s="19" t="n">
        <f aca="false">B241+N241</f>
        <v>46266</v>
      </c>
      <c r="P241" s="2" t="str">
        <f aca="false">IF(O241&gt;Ipoteze!$B$11,"Neincasat","Incasat")</f>
        <v>Incasat</v>
      </c>
    </row>
    <row r="242" customFormat="false" ht="15" hidden="false" customHeight="false" outlineLevel="0" collapsed="false">
      <c r="A242" s="2" t="s">
        <v>343</v>
      </c>
      <c r="B242" s="19" t="n">
        <v>46266</v>
      </c>
      <c r="C242" s="2" t="s">
        <v>347</v>
      </c>
      <c r="D242" s="2" t="s">
        <v>86</v>
      </c>
      <c r="E242" s="2" t="s">
        <v>87</v>
      </c>
      <c r="F242" s="2" t="n">
        <v>12</v>
      </c>
      <c r="G242" s="8" t="n">
        <v>54.9</v>
      </c>
      <c r="H242" s="8" t="n">
        <v>22</v>
      </c>
      <c r="I242" s="2" t="s">
        <v>99</v>
      </c>
      <c r="J242" s="8" t="n">
        <f aca="false">F242*G242</f>
        <v>658.8</v>
      </c>
      <c r="K242" s="8" t="n">
        <f aca="false">ROUND(J242*Ipoteze!$B$4,2)</f>
        <v>138.35</v>
      </c>
      <c r="L242" s="8" t="n">
        <f aca="false">J242+K242</f>
        <v>797.15</v>
      </c>
      <c r="M242" s="8" t="n">
        <f aca="false">F242*H242</f>
        <v>264</v>
      </c>
      <c r="N242" s="2" t="n">
        <f aca="false">INDEX(Clienti!$E:$E,MATCH(I242,Clienti!$A:$A,0))</f>
        <v>30</v>
      </c>
      <c r="O242" s="19" t="n">
        <f aca="false">B242+N242</f>
        <v>46296</v>
      </c>
      <c r="P242" s="2" t="str">
        <f aca="false">IF(O242&gt;Ipoteze!$B$11,"Neincasat","Incasat")</f>
        <v>Neincasat</v>
      </c>
    </row>
    <row r="243" customFormat="false" ht="15" hidden="false" customHeight="false" outlineLevel="0" collapsed="false">
      <c r="A243" s="2" t="s">
        <v>343</v>
      </c>
      <c r="B243" s="19" t="n">
        <v>46266</v>
      </c>
      <c r="C243" s="2" t="s">
        <v>348</v>
      </c>
      <c r="D243" s="2" t="s">
        <v>86</v>
      </c>
      <c r="E243" s="2" t="s">
        <v>87</v>
      </c>
      <c r="F243" s="2" t="n">
        <v>2</v>
      </c>
      <c r="G243" s="8" t="n">
        <v>54.9</v>
      </c>
      <c r="H243" s="8" t="n">
        <v>22</v>
      </c>
      <c r="I243" s="2" t="s">
        <v>84</v>
      </c>
      <c r="J243" s="8" t="n">
        <f aca="false">F243*G243</f>
        <v>109.8</v>
      </c>
      <c r="K243" s="8" t="n">
        <f aca="false">ROUND(J243*Ipoteze!$B$4,2)</f>
        <v>23.06</v>
      </c>
      <c r="L243" s="8" t="n">
        <f aca="false">J243+K243</f>
        <v>132.86</v>
      </c>
      <c r="M243" s="8" t="n">
        <f aca="false">F243*H243</f>
        <v>44</v>
      </c>
      <c r="N243" s="2" t="n">
        <f aca="false">INDEX(Clienti!$E:$E,MATCH(I243,Clienti!$A:$A,0))</f>
        <v>0</v>
      </c>
      <c r="O243" s="19" t="n">
        <f aca="false">B243+N243</f>
        <v>46266</v>
      </c>
      <c r="P243" s="2" t="str">
        <f aca="false">IF(O243&gt;Ipoteze!$B$11,"Neincasat","Incasat")</f>
        <v>Incasat</v>
      </c>
    </row>
    <row r="244" customFormat="false" ht="15" hidden="false" customHeight="false" outlineLevel="0" collapsed="false">
      <c r="A244" s="2" t="s">
        <v>343</v>
      </c>
      <c r="B244" s="19" t="n">
        <v>46267</v>
      </c>
      <c r="C244" s="2" t="s">
        <v>349</v>
      </c>
      <c r="D244" s="2" t="s">
        <v>104</v>
      </c>
      <c r="E244" s="2" t="s">
        <v>105</v>
      </c>
      <c r="F244" s="2" t="n">
        <v>1</v>
      </c>
      <c r="G244" s="8" t="n">
        <v>219.5</v>
      </c>
      <c r="H244" s="8" t="n">
        <v>120</v>
      </c>
      <c r="I244" s="2" t="s">
        <v>110</v>
      </c>
      <c r="J244" s="8" t="n">
        <f aca="false">F244*G244</f>
        <v>219.5</v>
      </c>
      <c r="K244" s="8" t="n">
        <f aca="false">ROUND(J244*Ipoteze!$B$4,2)</f>
        <v>46.1</v>
      </c>
      <c r="L244" s="8" t="n">
        <f aca="false">J244+K244</f>
        <v>265.6</v>
      </c>
      <c r="M244" s="8" t="n">
        <f aca="false">F244*H244</f>
        <v>120</v>
      </c>
      <c r="N244" s="2" t="n">
        <f aca="false">INDEX(Clienti!$E:$E,MATCH(I244,Clienti!$A:$A,0))</f>
        <v>0</v>
      </c>
      <c r="O244" s="19" t="n">
        <f aca="false">B244+N244</f>
        <v>46267</v>
      </c>
      <c r="P244" s="2" t="str">
        <f aca="false">IF(O244&gt;Ipoteze!$B$11,"Neincasat","Incasat")</f>
        <v>Incasat</v>
      </c>
    </row>
    <row r="245" customFormat="false" ht="15" hidden="false" customHeight="false" outlineLevel="0" collapsed="false">
      <c r="A245" s="2" t="s">
        <v>343</v>
      </c>
      <c r="B245" s="19" t="n">
        <v>46267</v>
      </c>
      <c r="C245" s="2" t="s">
        <v>350</v>
      </c>
      <c r="D245" s="2" t="s">
        <v>97</v>
      </c>
      <c r="E245" s="2" t="s">
        <v>98</v>
      </c>
      <c r="F245" s="2" t="n">
        <v>1</v>
      </c>
      <c r="G245" s="8" t="n">
        <v>449</v>
      </c>
      <c r="H245" s="8" t="n">
        <v>290</v>
      </c>
      <c r="I245" s="2" t="s">
        <v>84</v>
      </c>
      <c r="J245" s="8" t="n">
        <f aca="false">F245*G245</f>
        <v>449</v>
      </c>
      <c r="K245" s="8" t="n">
        <f aca="false">ROUND(J245*Ipoteze!$B$4,2)</f>
        <v>94.29</v>
      </c>
      <c r="L245" s="8" t="n">
        <f aca="false">J245+K245</f>
        <v>543.29</v>
      </c>
      <c r="M245" s="8" t="n">
        <f aca="false">F245*H245</f>
        <v>290</v>
      </c>
      <c r="N245" s="2" t="n">
        <f aca="false">INDEX(Clienti!$E:$E,MATCH(I245,Clienti!$A:$A,0))</f>
        <v>0</v>
      </c>
      <c r="O245" s="19" t="n">
        <f aca="false">B245+N245</f>
        <v>46267</v>
      </c>
      <c r="P245" s="2" t="str">
        <f aca="false">IF(O245&gt;Ipoteze!$B$11,"Neincasat","Incasat")</f>
        <v>Incasat</v>
      </c>
    </row>
    <row r="246" customFormat="false" ht="15" hidden="false" customHeight="false" outlineLevel="0" collapsed="false">
      <c r="A246" s="2" t="s">
        <v>343</v>
      </c>
      <c r="B246" s="19" t="n">
        <v>46267</v>
      </c>
      <c r="C246" s="2" t="s">
        <v>351</v>
      </c>
      <c r="D246" s="2" t="s">
        <v>134</v>
      </c>
      <c r="E246" s="2" t="s">
        <v>105</v>
      </c>
      <c r="F246" s="2" t="n">
        <v>1</v>
      </c>
      <c r="G246" s="8" t="n">
        <v>129.9</v>
      </c>
      <c r="H246" s="8" t="n">
        <v>70</v>
      </c>
      <c r="I246" s="2" t="s">
        <v>84</v>
      </c>
      <c r="J246" s="8" t="n">
        <f aca="false">F246*G246</f>
        <v>129.9</v>
      </c>
      <c r="K246" s="8" t="n">
        <f aca="false">ROUND(J246*Ipoteze!$B$4,2)</f>
        <v>27.28</v>
      </c>
      <c r="L246" s="8" t="n">
        <f aca="false">J246+K246</f>
        <v>157.18</v>
      </c>
      <c r="M246" s="8" t="n">
        <f aca="false">F246*H246</f>
        <v>70</v>
      </c>
      <c r="N246" s="2" t="n">
        <f aca="false">INDEX(Clienti!$E:$E,MATCH(I246,Clienti!$A:$A,0))</f>
        <v>0</v>
      </c>
      <c r="O246" s="19" t="n">
        <f aca="false">B246+N246</f>
        <v>46267</v>
      </c>
      <c r="P246" s="2" t="str">
        <f aca="false">IF(O246&gt;Ipoteze!$B$11,"Neincasat","Incasat")</f>
        <v>Incasat</v>
      </c>
    </row>
    <row r="247" customFormat="false" ht="15" hidden="false" customHeight="false" outlineLevel="0" collapsed="false">
      <c r="A247" s="2" t="s">
        <v>343</v>
      </c>
      <c r="B247" s="19" t="n">
        <v>46268</v>
      </c>
      <c r="C247" s="2" t="s">
        <v>352</v>
      </c>
      <c r="D247" s="2" t="s">
        <v>89</v>
      </c>
      <c r="E247" s="2" t="s">
        <v>87</v>
      </c>
      <c r="F247" s="2" t="n">
        <v>1</v>
      </c>
      <c r="G247" s="8" t="n">
        <v>29.99</v>
      </c>
      <c r="H247" s="8" t="n">
        <v>9</v>
      </c>
      <c r="I247" s="2" t="s">
        <v>110</v>
      </c>
      <c r="J247" s="8" t="n">
        <f aca="false">F247*G247</f>
        <v>29.99</v>
      </c>
      <c r="K247" s="8" t="n">
        <f aca="false">ROUND(J247*Ipoteze!$B$4,2)</f>
        <v>6.3</v>
      </c>
      <c r="L247" s="8" t="n">
        <f aca="false">J247+K247</f>
        <v>36.29</v>
      </c>
      <c r="M247" s="8" t="n">
        <f aca="false">F247*H247</f>
        <v>9</v>
      </c>
      <c r="N247" s="2" t="n">
        <f aca="false">INDEX(Clienti!$E:$E,MATCH(I247,Clienti!$A:$A,0))</f>
        <v>0</v>
      </c>
      <c r="O247" s="19" t="n">
        <f aca="false">B247+N247</f>
        <v>46268</v>
      </c>
      <c r="P247" s="2" t="str">
        <f aca="false">IF(O247&gt;Ipoteze!$B$11,"Neincasat","Incasat")</f>
        <v>Incasat</v>
      </c>
    </row>
    <row r="248" customFormat="false" ht="15" hidden="false" customHeight="false" outlineLevel="0" collapsed="false">
      <c r="A248" s="2" t="s">
        <v>343</v>
      </c>
      <c r="B248" s="19" t="n">
        <v>46268</v>
      </c>
      <c r="C248" s="2" t="s">
        <v>353</v>
      </c>
      <c r="D248" s="2" t="s">
        <v>94</v>
      </c>
      <c r="E248" s="2" t="s">
        <v>79</v>
      </c>
      <c r="F248" s="2" t="n">
        <v>1</v>
      </c>
      <c r="G248" s="8" t="n">
        <v>49.9</v>
      </c>
      <c r="H248" s="8" t="n">
        <v>19</v>
      </c>
      <c r="I248" s="2" t="s">
        <v>84</v>
      </c>
      <c r="J248" s="8" t="n">
        <f aca="false">F248*G248</f>
        <v>49.9</v>
      </c>
      <c r="K248" s="8" t="n">
        <f aca="false">ROUND(J248*Ipoteze!$B$4,2)</f>
        <v>10.48</v>
      </c>
      <c r="L248" s="8" t="n">
        <f aca="false">J248+K248</f>
        <v>60.38</v>
      </c>
      <c r="M248" s="8" t="n">
        <f aca="false">F248*H248</f>
        <v>19</v>
      </c>
      <c r="N248" s="2" t="n">
        <f aca="false">INDEX(Clienti!$E:$E,MATCH(I248,Clienti!$A:$A,0))</f>
        <v>0</v>
      </c>
      <c r="O248" s="19" t="n">
        <f aca="false">B248+N248</f>
        <v>46268</v>
      </c>
      <c r="P248" s="2" t="str">
        <f aca="false">IF(O248&gt;Ipoteze!$B$11,"Neincasat","Incasat")</f>
        <v>Incasat</v>
      </c>
    </row>
    <row r="249" customFormat="false" ht="15" hidden="false" customHeight="false" outlineLevel="0" collapsed="false">
      <c r="A249" s="2" t="s">
        <v>343</v>
      </c>
      <c r="B249" s="19" t="n">
        <v>46268</v>
      </c>
      <c r="C249" s="2" t="s">
        <v>354</v>
      </c>
      <c r="D249" s="2" t="s">
        <v>97</v>
      </c>
      <c r="E249" s="2" t="s">
        <v>98</v>
      </c>
      <c r="F249" s="2" t="n">
        <v>1</v>
      </c>
      <c r="G249" s="8" t="n">
        <v>449</v>
      </c>
      <c r="H249" s="8" t="n">
        <v>290</v>
      </c>
      <c r="I249" s="2" t="s">
        <v>84</v>
      </c>
      <c r="J249" s="8" t="n">
        <f aca="false">F249*G249</f>
        <v>449</v>
      </c>
      <c r="K249" s="8" t="n">
        <f aca="false">ROUND(J249*Ipoteze!$B$4,2)</f>
        <v>94.29</v>
      </c>
      <c r="L249" s="8" t="n">
        <f aca="false">J249+K249</f>
        <v>543.29</v>
      </c>
      <c r="M249" s="8" t="n">
        <f aca="false">F249*H249</f>
        <v>290</v>
      </c>
      <c r="N249" s="2" t="n">
        <f aca="false">INDEX(Clienti!$E:$E,MATCH(I249,Clienti!$A:$A,0))</f>
        <v>0</v>
      </c>
      <c r="O249" s="19" t="n">
        <f aca="false">B249+N249</f>
        <v>46268</v>
      </c>
      <c r="P249" s="2" t="str">
        <f aca="false">IF(O249&gt;Ipoteze!$B$11,"Neincasat","Incasat")</f>
        <v>Incasat</v>
      </c>
    </row>
    <row r="250" customFormat="false" ht="15" hidden="false" customHeight="false" outlineLevel="0" collapsed="false">
      <c r="A250" s="2" t="s">
        <v>343</v>
      </c>
      <c r="B250" s="19" t="n">
        <v>46268</v>
      </c>
      <c r="C250" s="2" t="s">
        <v>355</v>
      </c>
      <c r="D250" s="2" t="s">
        <v>86</v>
      </c>
      <c r="E250" s="2" t="s">
        <v>87</v>
      </c>
      <c r="F250" s="2" t="n">
        <v>2</v>
      </c>
      <c r="G250" s="8" t="n">
        <v>54.9</v>
      </c>
      <c r="H250" s="8" t="n">
        <v>22</v>
      </c>
      <c r="I250" s="2" t="s">
        <v>84</v>
      </c>
      <c r="J250" s="8" t="n">
        <f aca="false">F250*G250</f>
        <v>109.8</v>
      </c>
      <c r="K250" s="8" t="n">
        <f aca="false">ROUND(J250*Ipoteze!$B$4,2)</f>
        <v>23.06</v>
      </c>
      <c r="L250" s="8" t="n">
        <f aca="false">J250+K250</f>
        <v>132.86</v>
      </c>
      <c r="M250" s="8" t="n">
        <f aca="false">F250*H250</f>
        <v>44</v>
      </c>
      <c r="N250" s="2" t="n">
        <f aca="false">INDEX(Clienti!$E:$E,MATCH(I250,Clienti!$A:$A,0))</f>
        <v>0</v>
      </c>
      <c r="O250" s="19" t="n">
        <f aca="false">B250+N250</f>
        <v>46268</v>
      </c>
      <c r="P250" s="2" t="str">
        <f aca="false">IF(O250&gt;Ipoteze!$B$11,"Neincasat","Incasat")</f>
        <v>Incasat</v>
      </c>
    </row>
    <row r="251" customFormat="false" ht="15" hidden="false" customHeight="false" outlineLevel="0" collapsed="false">
      <c r="A251" s="2" t="s">
        <v>343</v>
      </c>
      <c r="B251" s="19" t="n">
        <v>46268</v>
      </c>
      <c r="C251" s="2" t="s">
        <v>356</v>
      </c>
      <c r="D251" s="2" t="s">
        <v>134</v>
      </c>
      <c r="E251" s="2" t="s">
        <v>105</v>
      </c>
      <c r="F251" s="2" t="n">
        <v>3</v>
      </c>
      <c r="G251" s="8" t="n">
        <v>129.9</v>
      </c>
      <c r="H251" s="8" t="n">
        <v>70</v>
      </c>
      <c r="I251" s="2" t="s">
        <v>92</v>
      </c>
      <c r="J251" s="8" t="n">
        <f aca="false">F251*G251</f>
        <v>389.7</v>
      </c>
      <c r="K251" s="8" t="n">
        <f aca="false">ROUND(J251*Ipoteze!$B$4,2)</f>
        <v>81.84</v>
      </c>
      <c r="L251" s="8" t="n">
        <f aca="false">J251+K251</f>
        <v>471.54</v>
      </c>
      <c r="M251" s="8" t="n">
        <f aca="false">F251*H251</f>
        <v>210</v>
      </c>
      <c r="N251" s="2" t="n">
        <f aca="false">INDEX(Clienti!$E:$E,MATCH(I251,Clienti!$A:$A,0))</f>
        <v>14</v>
      </c>
      <c r="O251" s="19" t="n">
        <f aca="false">B251+N251</f>
        <v>46282</v>
      </c>
      <c r="P251" s="2" t="str">
        <f aca="false">IF(O251&gt;Ipoteze!$B$11,"Neincasat","Incasat")</f>
        <v>Incasat</v>
      </c>
    </row>
    <row r="252" customFormat="false" ht="15" hidden="false" customHeight="false" outlineLevel="0" collapsed="false">
      <c r="A252" s="2" t="s">
        <v>343</v>
      </c>
      <c r="B252" s="19" t="n">
        <v>46268</v>
      </c>
      <c r="C252" s="2" t="s">
        <v>357</v>
      </c>
      <c r="D252" s="2" t="s">
        <v>94</v>
      </c>
      <c r="E252" s="2" t="s">
        <v>79</v>
      </c>
      <c r="F252" s="2" t="n">
        <v>19</v>
      </c>
      <c r="G252" s="8" t="n">
        <v>49.9</v>
      </c>
      <c r="H252" s="8" t="n">
        <v>19</v>
      </c>
      <c r="I252" s="2" t="s">
        <v>95</v>
      </c>
      <c r="J252" s="8" t="n">
        <f aca="false">F252*G252</f>
        <v>948.1</v>
      </c>
      <c r="K252" s="8" t="n">
        <f aca="false">ROUND(J252*Ipoteze!$B$4,2)</f>
        <v>199.1</v>
      </c>
      <c r="L252" s="8" t="n">
        <f aca="false">J252+K252</f>
        <v>1147.2</v>
      </c>
      <c r="M252" s="8" t="n">
        <f aca="false">F252*H252</f>
        <v>361</v>
      </c>
      <c r="N252" s="2" t="n">
        <f aca="false">INDEX(Clienti!$E:$E,MATCH(I252,Clienti!$A:$A,0))</f>
        <v>30</v>
      </c>
      <c r="O252" s="19" t="n">
        <f aca="false">B252+N252</f>
        <v>46298</v>
      </c>
      <c r="P252" s="2" t="str">
        <f aca="false">IF(O252&gt;Ipoteze!$B$11,"Neincasat","Incasat")</f>
        <v>Neincasat</v>
      </c>
    </row>
    <row r="253" customFormat="false" ht="15" hidden="false" customHeight="false" outlineLevel="0" collapsed="false">
      <c r="A253" s="2" t="s">
        <v>343</v>
      </c>
      <c r="B253" s="19" t="n">
        <v>46269</v>
      </c>
      <c r="C253" s="2" t="s">
        <v>358</v>
      </c>
      <c r="D253" s="2" t="s">
        <v>101</v>
      </c>
      <c r="E253" s="2" t="s">
        <v>79</v>
      </c>
      <c r="F253" s="2" t="n">
        <v>12</v>
      </c>
      <c r="G253" s="8" t="n">
        <v>149</v>
      </c>
      <c r="H253" s="8" t="n">
        <v>75</v>
      </c>
      <c r="I253" s="2" t="s">
        <v>80</v>
      </c>
      <c r="J253" s="8" t="n">
        <f aca="false">F253*G253</f>
        <v>1788</v>
      </c>
      <c r="K253" s="8" t="n">
        <f aca="false">ROUND(J253*Ipoteze!$B$4,2)</f>
        <v>375.48</v>
      </c>
      <c r="L253" s="8" t="n">
        <f aca="false">J253+K253</f>
        <v>2163.48</v>
      </c>
      <c r="M253" s="8" t="n">
        <f aca="false">F253*H253</f>
        <v>900</v>
      </c>
      <c r="N253" s="2" t="n">
        <f aca="false">INDEX(Clienti!$E:$E,MATCH(I253,Clienti!$A:$A,0))</f>
        <v>15</v>
      </c>
      <c r="O253" s="19" t="n">
        <f aca="false">B253+N253</f>
        <v>46284</v>
      </c>
      <c r="P253" s="2" t="str">
        <f aca="false">IF(O253&gt;Ipoteze!$B$11,"Neincasat","Incasat")</f>
        <v>Incasat</v>
      </c>
    </row>
    <row r="254" customFormat="false" ht="15" hidden="false" customHeight="false" outlineLevel="0" collapsed="false">
      <c r="A254" s="2" t="s">
        <v>343</v>
      </c>
      <c r="B254" s="19" t="n">
        <v>46269</v>
      </c>
      <c r="C254" s="2" t="s">
        <v>359</v>
      </c>
      <c r="D254" s="2" t="s">
        <v>86</v>
      </c>
      <c r="E254" s="2" t="s">
        <v>87</v>
      </c>
      <c r="F254" s="2" t="n">
        <v>2</v>
      </c>
      <c r="G254" s="8" t="n">
        <v>54.9</v>
      </c>
      <c r="H254" s="8" t="n">
        <v>22</v>
      </c>
      <c r="I254" s="2" t="s">
        <v>110</v>
      </c>
      <c r="J254" s="8" t="n">
        <f aca="false">F254*G254</f>
        <v>109.8</v>
      </c>
      <c r="K254" s="8" t="n">
        <f aca="false">ROUND(J254*Ipoteze!$B$4,2)</f>
        <v>23.06</v>
      </c>
      <c r="L254" s="8" t="n">
        <f aca="false">J254+K254</f>
        <v>132.86</v>
      </c>
      <c r="M254" s="8" t="n">
        <f aca="false">F254*H254</f>
        <v>44</v>
      </c>
      <c r="N254" s="2" t="n">
        <f aca="false">INDEX(Clienti!$E:$E,MATCH(I254,Clienti!$A:$A,0))</f>
        <v>0</v>
      </c>
      <c r="O254" s="19" t="n">
        <f aca="false">B254+N254</f>
        <v>46269</v>
      </c>
      <c r="P254" s="2" t="str">
        <f aca="false">IF(O254&gt;Ipoteze!$B$11,"Neincasat","Incasat")</f>
        <v>Incasat</v>
      </c>
    </row>
    <row r="255" customFormat="false" ht="15" hidden="false" customHeight="false" outlineLevel="0" collapsed="false">
      <c r="A255" s="2" t="s">
        <v>343</v>
      </c>
      <c r="B255" s="19" t="n">
        <v>46269</v>
      </c>
      <c r="C255" s="2" t="s">
        <v>360</v>
      </c>
      <c r="D255" s="2" t="s">
        <v>101</v>
      </c>
      <c r="E255" s="2" t="s">
        <v>79</v>
      </c>
      <c r="F255" s="2" t="n">
        <v>2</v>
      </c>
      <c r="G255" s="8" t="n">
        <v>149</v>
      </c>
      <c r="H255" s="8" t="n">
        <v>75</v>
      </c>
      <c r="I255" s="2" t="s">
        <v>92</v>
      </c>
      <c r="J255" s="8" t="n">
        <f aca="false">F255*G255</f>
        <v>298</v>
      </c>
      <c r="K255" s="8" t="n">
        <f aca="false">ROUND(J255*Ipoteze!$B$4,2)</f>
        <v>62.58</v>
      </c>
      <c r="L255" s="8" t="n">
        <f aca="false">J255+K255</f>
        <v>360.58</v>
      </c>
      <c r="M255" s="8" t="n">
        <f aca="false">F255*H255</f>
        <v>150</v>
      </c>
      <c r="N255" s="2" t="n">
        <f aca="false">INDEX(Clienti!$E:$E,MATCH(I255,Clienti!$A:$A,0))</f>
        <v>14</v>
      </c>
      <c r="O255" s="19" t="n">
        <f aca="false">B255+N255</f>
        <v>46283</v>
      </c>
      <c r="P255" s="2" t="str">
        <f aca="false">IF(O255&gt;Ipoteze!$B$11,"Neincasat","Incasat")</f>
        <v>Incasat</v>
      </c>
    </row>
    <row r="256" customFormat="false" ht="15" hidden="false" customHeight="false" outlineLevel="0" collapsed="false">
      <c r="A256" s="2" t="s">
        <v>343</v>
      </c>
      <c r="B256" s="19" t="n">
        <v>46269</v>
      </c>
      <c r="C256" s="2" t="s">
        <v>361</v>
      </c>
      <c r="D256" s="2" t="s">
        <v>86</v>
      </c>
      <c r="E256" s="2" t="s">
        <v>87</v>
      </c>
      <c r="F256" s="2" t="n">
        <v>10</v>
      </c>
      <c r="G256" s="8" t="n">
        <v>54.9</v>
      </c>
      <c r="H256" s="8" t="n">
        <v>22</v>
      </c>
      <c r="I256" s="2" t="s">
        <v>125</v>
      </c>
      <c r="J256" s="8" t="n">
        <f aca="false">F256*G256</f>
        <v>549</v>
      </c>
      <c r="K256" s="8" t="n">
        <f aca="false">ROUND(J256*Ipoteze!$B$4,2)</f>
        <v>115.29</v>
      </c>
      <c r="L256" s="8" t="n">
        <f aca="false">J256+K256</f>
        <v>664.29</v>
      </c>
      <c r="M256" s="8" t="n">
        <f aca="false">F256*H256</f>
        <v>220</v>
      </c>
      <c r="N256" s="2" t="n">
        <f aca="false">INDEX(Clienti!$E:$E,MATCH(I256,Clienti!$A:$A,0))</f>
        <v>15</v>
      </c>
      <c r="O256" s="19" t="n">
        <f aca="false">B256+N256</f>
        <v>46284</v>
      </c>
      <c r="P256" s="2" t="str">
        <f aca="false">IF(O256&gt;Ipoteze!$B$11,"Neincasat","Incasat")</f>
        <v>Incasat</v>
      </c>
    </row>
    <row r="257" customFormat="false" ht="15" hidden="false" customHeight="false" outlineLevel="0" collapsed="false">
      <c r="A257" s="2" t="s">
        <v>343</v>
      </c>
      <c r="B257" s="19" t="n">
        <v>46269</v>
      </c>
      <c r="C257" s="2" t="s">
        <v>362</v>
      </c>
      <c r="D257" s="2" t="s">
        <v>108</v>
      </c>
      <c r="E257" s="2" t="s">
        <v>83</v>
      </c>
      <c r="F257" s="2" t="n">
        <v>18</v>
      </c>
      <c r="G257" s="8" t="n">
        <v>289</v>
      </c>
      <c r="H257" s="8" t="n">
        <v>160</v>
      </c>
      <c r="I257" s="2" t="s">
        <v>125</v>
      </c>
      <c r="J257" s="8" t="n">
        <f aca="false">F257*G257</f>
        <v>5202</v>
      </c>
      <c r="K257" s="8" t="n">
        <f aca="false">ROUND(J257*Ipoteze!$B$4,2)</f>
        <v>1092.42</v>
      </c>
      <c r="L257" s="8" t="n">
        <f aca="false">J257+K257</f>
        <v>6294.42</v>
      </c>
      <c r="M257" s="8" t="n">
        <f aca="false">F257*H257</f>
        <v>2880</v>
      </c>
      <c r="N257" s="2" t="n">
        <f aca="false">INDEX(Clienti!$E:$E,MATCH(I257,Clienti!$A:$A,0))</f>
        <v>15</v>
      </c>
      <c r="O257" s="19" t="n">
        <f aca="false">B257+N257</f>
        <v>46284</v>
      </c>
      <c r="P257" s="2" t="str">
        <f aca="false">IF(O257&gt;Ipoteze!$B$11,"Neincasat","Incasat")</f>
        <v>Incasat</v>
      </c>
    </row>
    <row r="258" customFormat="false" ht="15" hidden="false" customHeight="false" outlineLevel="0" collapsed="false">
      <c r="A258" s="2" t="s">
        <v>343</v>
      </c>
      <c r="B258" s="19" t="n">
        <v>46269</v>
      </c>
      <c r="C258" s="2" t="s">
        <v>363</v>
      </c>
      <c r="D258" s="2" t="s">
        <v>134</v>
      </c>
      <c r="E258" s="2" t="s">
        <v>105</v>
      </c>
      <c r="F258" s="2" t="n">
        <v>2</v>
      </c>
      <c r="G258" s="8" t="n">
        <v>129.9</v>
      </c>
      <c r="H258" s="8" t="n">
        <v>70</v>
      </c>
      <c r="I258" s="2" t="s">
        <v>84</v>
      </c>
      <c r="J258" s="8" t="n">
        <f aca="false">F258*G258</f>
        <v>259.8</v>
      </c>
      <c r="K258" s="8" t="n">
        <f aca="false">ROUND(J258*Ipoteze!$B$4,2)</f>
        <v>54.56</v>
      </c>
      <c r="L258" s="8" t="n">
        <f aca="false">J258+K258</f>
        <v>314.36</v>
      </c>
      <c r="M258" s="8" t="n">
        <f aca="false">F258*H258</f>
        <v>140</v>
      </c>
      <c r="N258" s="2" t="n">
        <f aca="false">INDEX(Clienti!$E:$E,MATCH(I258,Clienti!$A:$A,0))</f>
        <v>0</v>
      </c>
      <c r="O258" s="19" t="n">
        <f aca="false">B258+N258</f>
        <v>46269</v>
      </c>
      <c r="P258" s="2" t="str">
        <f aca="false">IF(O258&gt;Ipoteze!$B$11,"Neincasat","Incasat")</f>
        <v>Incasat</v>
      </c>
    </row>
    <row r="259" customFormat="false" ht="15" hidden="false" customHeight="false" outlineLevel="0" collapsed="false">
      <c r="A259" s="2" t="s">
        <v>343</v>
      </c>
      <c r="B259" s="19" t="n">
        <v>46270</v>
      </c>
      <c r="C259" s="2" t="s">
        <v>364</v>
      </c>
      <c r="D259" s="2" t="s">
        <v>101</v>
      </c>
      <c r="E259" s="2" t="s">
        <v>79</v>
      </c>
      <c r="F259" s="2" t="n">
        <v>2</v>
      </c>
      <c r="G259" s="8" t="n">
        <v>149</v>
      </c>
      <c r="H259" s="8" t="n">
        <v>75</v>
      </c>
      <c r="I259" s="2" t="s">
        <v>110</v>
      </c>
      <c r="J259" s="8" t="n">
        <f aca="false">F259*G259</f>
        <v>298</v>
      </c>
      <c r="K259" s="8" t="n">
        <f aca="false">ROUND(J259*Ipoteze!$B$4,2)</f>
        <v>62.58</v>
      </c>
      <c r="L259" s="8" t="n">
        <f aca="false">J259+K259</f>
        <v>360.58</v>
      </c>
      <c r="M259" s="8" t="n">
        <f aca="false">F259*H259</f>
        <v>150</v>
      </c>
      <c r="N259" s="2" t="n">
        <f aca="false">INDEX(Clienti!$E:$E,MATCH(I259,Clienti!$A:$A,0))</f>
        <v>0</v>
      </c>
      <c r="O259" s="19" t="n">
        <f aca="false">B259+N259</f>
        <v>46270</v>
      </c>
      <c r="P259" s="2" t="str">
        <f aca="false">IF(O259&gt;Ipoteze!$B$11,"Neincasat","Incasat")</f>
        <v>Incasat</v>
      </c>
    </row>
    <row r="260" customFormat="false" ht="15" hidden="false" customHeight="false" outlineLevel="0" collapsed="false">
      <c r="A260" s="2" t="s">
        <v>343</v>
      </c>
      <c r="B260" s="19" t="n">
        <v>46270</v>
      </c>
      <c r="C260" s="2" t="s">
        <v>365</v>
      </c>
      <c r="D260" s="2" t="s">
        <v>97</v>
      </c>
      <c r="E260" s="2" t="s">
        <v>98</v>
      </c>
      <c r="F260" s="2" t="n">
        <v>1</v>
      </c>
      <c r="G260" s="8" t="n">
        <v>449</v>
      </c>
      <c r="H260" s="8" t="n">
        <v>290</v>
      </c>
      <c r="I260" s="2" t="s">
        <v>84</v>
      </c>
      <c r="J260" s="8" t="n">
        <f aca="false">F260*G260</f>
        <v>449</v>
      </c>
      <c r="K260" s="8" t="n">
        <f aca="false">ROUND(J260*Ipoteze!$B$4,2)</f>
        <v>94.29</v>
      </c>
      <c r="L260" s="8" t="n">
        <f aca="false">J260+K260</f>
        <v>543.29</v>
      </c>
      <c r="M260" s="8" t="n">
        <f aca="false">F260*H260</f>
        <v>290</v>
      </c>
      <c r="N260" s="2" t="n">
        <f aca="false">INDEX(Clienti!$E:$E,MATCH(I260,Clienti!$A:$A,0))</f>
        <v>0</v>
      </c>
      <c r="O260" s="19" t="n">
        <f aca="false">B260+N260</f>
        <v>46270</v>
      </c>
      <c r="P260" s="2" t="str">
        <f aca="false">IF(O260&gt;Ipoteze!$B$11,"Neincasat","Incasat")</f>
        <v>Incasat</v>
      </c>
    </row>
    <row r="261" customFormat="false" ht="15" hidden="false" customHeight="false" outlineLevel="0" collapsed="false">
      <c r="A261" s="2" t="s">
        <v>343</v>
      </c>
      <c r="B261" s="19" t="n">
        <v>46270</v>
      </c>
      <c r="C261" s="2" t="s">
        <v>366</v>
      </c>
      <c r="D261" s="2" t="s">
        <v>78</v>
      </c>
      <c r="E261" s="2" t="s">
        <v>79</v>
      </c>
      <c r="F261" s="2" t="n">
        <v>6</v>
      </c>
      <c r="G261" s="8" t="n">
        <v>169</v>
      </c>
      <c r="H261" s="8" t="n">
        <v>85</v>
      </c>
      <c r="I261" s="2" t="s">
        <v>99</v>
      </c>
      <c r="J261" s="8" t="n">
        <f aca="false">F261*G261</f>
        <v>1014</v>
      </c>
      <c r="K261" s="8" t="n">
        <f aca="false">ROUND(J261*Ipoteze!$B$4,2)</f>
        <v>212.94</v>
      </c>
      <c r="L261" s="8" t="n">
        <f aca="false">J261+K261</f>
        <v>1226.94</v>
      </c>
      <c r="M261" s="8" t="n">
        <f aca="false">F261*H261</f>
        <v>510</v>
      </c>
      <c r="N261" s="2" t="n">
        <f aca="false">INDEX(Clienti!$E:$E,MATCH(I261,Clienti!$A:$A,0))</f>
        <v>30</v>
      </c>
      <c r="O261" s="19" t="n">
        <f aca="false">B261+N261</f>
        <v>46300</v>
      </c>
      <c r="P261" s="2" t="str">
        <f aca="false">IF(O261&gt;Ipoteze!$B$11,"Neincasat","Incasat")</f>
        <v>Neincasat</v>
      </c>
    </row>
    <row r="262" customFormat="false" ht="15" hidden="false" customHeight="false" outlineLevel="0" collapsed="false">
      <c r="A262" s="2" t="s">
        <v>343</v>
      </c>
      <c r="B262" s="19" t="n">
        <v>46270</v>
      </c>
      <c r="C262" s="2" t="s">
        <v>367</v>
      </c>
      <c r="D262" s="2" t="s">
        <v>91</v>
      </c>
      <c r="E262" s="2" t="s">
        <v>79</v>
      </c>
      <c r="F262" s="2" t="n">
        <v>2</v>
      </c>
      <c r="G262" s="8" t="n">
        <v>99</v>
      </c>
      <c r="H262" s="8" t="n">
        <v>48</v>
      </c>
      <c r="I262" s="2" t="s">
        <v>110</v>
      </c>
      <c r="J262" s="8" t="n">
        <f aca="false">F262*G262</f>
        <v>198</v>
      </c>
      <c r="K262" s="8" t="n">
        <f aca="false">ROUND(J262*Ipoteze!$B$4,2)</f>
        <v>41.58</v>
      </c>
      <c r="L262" s="8" t="n">
        <f aca="false">J262+K262</f>
        <v>239.58</v>
      </c>
      <c r="M262" s="8" t="n">
        <f aca="false">F262*H262</f>
        <v>96</v>
      </c>
      <c r="N262" s="2" t="n">
        <f aca="false">INDEX(Clienti!$E:$E,MATCH(I262,Clienti!$A:$A,0))</f>
        <v>0</v>
      </c>
      <c r="O262" s="19" t="n">
        <f aca="false">B262+N262</f>
        <v>46270</v>
      </c>
      <c r="P262" s="2" t="str">
        <f aca="false">IF(O262&gt;Ipoteze!$B$11,"Neincasat","Incasat")</f>
        <v>Incasat</v>
      </c>
    </row>
    <row r="263" customFormat="false" ht="15" hidden="false" customHeight="false" outlineLevel="0" collapsed="false">
      <c r="A263" s="2" t="s">
        <v>343</v>
      </c>
      <c r="B263" s="19" t="n">
        <v>46270</v>
      </c>
      <c r="C263" s="2" t="s">
        <v>368</v>
      </c>
      <c r="D263" s="2" t="s">
        <v>124</v>
      </c>
      <c r="E263" s="2" t="s">
        <v>98</v>
      </c>
      <c r="F263" s="2" t="n">
        <v>3</v>
      </c>
      <c r="G263" s="8" t="n">
        <v>39.9</v>
      </c>
      <c r="H263" s="8" t="n">
        <v>18</v>
      </c>
      <c r="I263" s="2" t="s">
        <v>92</v>
      </c>
      <c r="J263" s="8" t="n">
        <f aca="false">F263*G263</f>
        <v>119.7</v>
      </c>
      <c r="K263" s="8" t="n">
        <f aca="false">ROUND(J263*Ipoteze!$B$4,2)</f>
        <v>25.14</v>
      </c>
      <c r="L263" s="8" t="n">
        <f aca="false">J263+K263</f>
        <v>144.84</v>
      </c>
      <c r="M263" s="8" t="n">
        <f aca="false">F263*H263</f>
        <v>54</v>
      </c>
      <c r="N263" s="2" t="n">
        <f aca="false">INDEX(Clienti!$E:$E,MATCH(I263,Clienti!$A:$A,0))</f>
        <v>14</v>
      </c>
      <c r="O263" s="19" t="n">
        <f aca="false">B263+N263</f>
        <v>46284</v>
      </c>
      <c r="P263" s="2" t="str">
        <f aca="false">IF(O263&gt;Ipoteze!$B$11,"Neincasat","Incasat")</f>
        <v>Incasat</v>
      </c>
    </row>
    <row r="264" customFormat="false" ht="15" hidden="false" customHeight="false" outlineLevel="0" collapsed="false">
      <c r="A264" s="2" t="s">
        <v>343</v>
      </c>
      <c r="B264" s="19" t="n">
        <v>46272</v>
      </c>
      <c r="C264" s="2" t="s">
        <v>369</v>
      </c>
      <c r="D264" s="2" t="s">
        <v>124</v>
      </c>
      <c r="E264" s="2" t="s">
        <v>98</v>
      </c>
      <c r="F264" s="2" t="n">
        <v>16</v>
      </c>
      <c r="G264" s="8" t="n">
        <v>39.9</v>
      </c>
      <c r="H264" s="8" t="n">
        <v>18</v>
      </c>
      <c r="I264" s="2" t="s">
        <v>125</v>
      </c>
      <c r="J264" s="8" t="n">
        <f aca="false">F264*G264</f>
        <v>638.4</v>
      </c>
      <c r="K264" s="8" t="n">
        <f aca="false">ROUND(J264*Ipoteze!$B$4,2)</f>
        <v>134.06</v>
      </c>
      <c r="L264" s="8" t="n">
        <f aca="false">J264+K264</f>
        <v>772.46</v>
      </c>
      <c r="M264" s="8" t="n">
        <f aca="false">F264*H264</f>
        <v>288</v>
      </c>
      <c r="N264" s="2" t="n">
        <f aca="false">INDEX(Clienti!$E:$E,MATCH(I264,Clienti!$A:$A,0))</f>
        <v>15</v>
      </c>
      <c r="O264" s="19" t="n">
        <f aca="false">B264+N264</f>
        <v>46287</v>
      </c>
      <c r="P264" s="2" t="str">
        <f aca="false">IF(O264&gt;Ipoteze!$B$11,"Neincasat","Incasat")</f>
        <v>Incasat</v>
      </c>
    </row>
    <row r="265" customFormat="false" ht="15" hidden="false" customHeight="false" outlineLevel="0" collapsed="false">
      <c r="A265" s="2" t="s">
        <v>343</v>
      </c>
      <c r="B265" s="19" t="n">
        <v>46272</v>
      </c>
      <c r="C265" s="2" t="s">
        <v>370</v>
      </c>
      <c r="D265" s="2" t="s">
        <v>89</v>
      </c>
      <c r="E265" s="2" t="s">
        <v>87</v>
      </c>
      <c r="F265" s="2" t="n">
        <v>1</v>
      </c>
      <c r="G265" s="8" t="n">
        <v>29.99</v>
      </c>
      <c r="H265" s="8" t="n">
        <v>9</v>
      </c>
      <c r="I265" s="2" t="s">
        <v>92</v>
      </c>
      <c r="J265" s="8" t="n">
        <f aca="false">F265*G265</f>
        <v>29.99</v>
      </c>
      <c r="K265" s="8" t="n">
        <f aca="false">ROUND(J265*Ipoteze!$B$4,2)</f>
        <v>6.3</v>
      </c>
      <c r="L265" s="8" t="n">
        <f aca="false">J265+K265</f>
        <v>36.29</v>
      </c>
      <c r="M265" s="8" t="n">
        <f aca="false">F265*H265</f>
        <v>9</v>
      </c>
      <c r="N265" s="2" t="n">
        <f aca="false">INDEX(Clienti!$E:$E,MATCH(I265,Clienti!$A:$A,0))</f>
        <v>14</v>
      </c>
      <c r="O265" s="19" t="n">
        <f aca="false">B265+N265</f>
        <v>46286</v>
      </c>
      <c r="P265" s="2" t="str">
        <f aca="false">IF(O265&gt;Ipoteze!$B$11,"Neincasat","Incasat")</f>
        <v>Incasat</v>
      </c>
    </row>
    <row r="266" customFormat="false" ht="15" hidden="false" customHeight="false" outlineLevel="0" collapsed="false">
      <c r="A266" s="2" t="s">
        <v>343</v>
      </c>
      <c r="B266" s="19" t="n">
        <v>46272</v>
      </c>
      <c r="C266" s="2" t="s">
        <v>371</v>
      </c>
      <c r="D266" s="2" t="s">
        <v>104</v>
      </c>
      <c r="E266" s="2" t="s">
        <v>105</v>
      </c>
      <c r="F266" s="2" t="n">
        <v>3</v>
      </c>
      <c r="G266" s="8" t="n">
        <v>219.5</v>
      </c>
      <c r="H266" s="8" t="n">
        <v>120</v>
      </c>
      <c r="I266" s="2" t="s">
        <v>84</v>
      </c>
      <c r="J266" s="8" t="n">
        <f aca="false">F266*G266</f>
        <v>658.5</v>
      </c>
      <c r="K266" s="8" t="n">
        <f aca="false">ROUND(J266*Ipoteze!$B$4,2)</f>
        <v>138.29</v>
      </c>
      <c r="L266" s="8" t="n">
        <f aca="false">J266+K266</f>
        <v>796.79</v>
      </c>
      <c r="M266" s="8" t="n">
        <f aca="false">F266*H266</f>
        <v>360</v>
      </c>
      <c r="N266" s="2" t="n">
        <f aca="false">INDEX(Clienti!$E:$E,MATCH(I266,Clienti!$A:$A,0))</f>
        <v>0</v>
      </c>
      <c r="O266" s="19" t="n">
        <f aca="false">B266+N266</f>
        <v>46272</v>
      </c>
      <c r="P266" s="2" t="str">
        <f aca="false">IF(O266&gt;Ipoteze!$B$11,"Neincasat","Incasat")</f>
        <v>Incasat</v>
      </c>
    </row>
    <row r="267" customFormat="false" ht="15" hidden="false" customHeight="false" outlineLevel="0" collapsed="false">
      <c r="A267" s="2" t="s">
        <v>343</v>
      </c>
      <c r="B267" s="19" t="n">
        <v>46272</v>
      </c>
      <c r="C267" s="2" t="s">
        <v>372</v>
      </c>
      <c r="D267" s="2" t="s">
        <v>104</v>
      </c>
      <c r="E267" s="2" t="s">
        <v>105</v>
      </c>
      <c r="F267" s="2" t="n">
        <v>7</v>
      </c>
      <c r="G267" s="8" t="n">
        <v>219.5</v>
      </c>
      <c r="H267" s="8" t="n">
        <v>120</v>
      </c>
      <c r="I267" s="2" t="s">
        <v>125</v>
      </c>
      <c r="J267" s="8" t="n">
        <f aca="false">F267*G267</f>
        <v>1536.5</v>
      </c>
      <c r="K267" s="8" t="n">
        <f aca="false">ROUND(J267*Ipoteze!$B$4,2)</f>
        <v>322.67</v>
      </c>
      <c r="L267" s="8" t="n">
        <f aca="false">J267+K267</f>
        <v>1859.17</v>
      </c>
      <c r="M267" s="8" t="n">
        <f aca="false">F267*H267</f>
        <v>840</v>
      </c>
      <c r="N267" s="2" t="n">
        <f aca="false">INDEX(Clienti!$E:$E,MATCH(I267,Clienti!$A:$A,0))</f>
        <v>15</v>
      </c>
      <c r="O267" s="19" t="n">
        <f aca="false">B267+N267</f>
        <v>46287</v>
      </c>
      <c r="P267" s="2" t="str">
        <f aca="false">IF(O267&gt;Ipoteze!$B$11,"Neincasat","Incasat")</f>
        <v>Incasat</v>
      </c>
    </row>
    <row r="268" customFormat="false" ht="15" hidden="false" customHeight="false" outlineLevel="0" collapsed="false">
      <c r="A268" s="2" t="s">
        <v>343</v>
      </c>
      <c r="B268" s="19" t="n">
        <v>46272</v>
      </c>
      <c r="C268" s="2" t="s">
        <v>373</v>
      </c>
      <c r="D268" s="2" t="s">
        <v>89</v>
      </c>
      <c r="E268" s="2" t="s">
        <v>87</v>
      </c>
      <c r="F268" s="2" t="n">
        <v>13</v>
      </c>
      <c r="G268" s="8" t="n">
        <v>29.99</v>
      </c>
      <c r="H268" s="8" t="n">
        <v>9</v>
      </c>
      <c r="I268" s="2" t="s">
        <v>116</v>
      </c>
      <c r="J268" s="8" t="n">
        <f aca="false">F268*G268</f>
        <v>389.87</v>
      </c>
      <c r="K268" s="8" t="n">
        <f aca="false">ROUND(J268*Ipoteze!$B$4,2)</f>
        <v>81.87</v>
      </c>
      <c r="L268" s="8" t="n">
        <f aca="false">J268+K268</f>
        <v>471.74</v>
      </c>
      <c r="M268" s="8" t="n">
        <f aca="false">F268*H268</f>
        <v>117</v>
      </c>
      <c r="N268" s="2" t="n">
        <f aca="false">INDEX(Clienti!$E:$E,MATCH(I268,Clienti!$A:$A,0))</f>
        <v>30</v>
      </c>
      <c r="O268" s="19" t="n">
        <f aca="false">B268+N268</f>
        <v>46302</v>
      </c>
      <c r="P268" s="2" t="str">
        <f aca="false">IF(O268&gt;Ipoteze!$B$11,"Neincasat","Incasat")</f>
        <v>Neincasat</v>
      </c>
    </row>
    <row r="269" customFormat="false" ht="15" hidden="false" customHeight="false" outlineLevel="0" collapsed="false">
      <c r="A269" s="2" t="s">
        <v>343</v>
      </c>
      <c r="B269" s="19" t="n">
        <v>46272</v>
      </c>
      <c r="C269" s="2" t="s">
        <v>374</v>
      </c>
      <c r="D269" s="2" t="s">
        <v>89</v>
      </c>
      <c r="E269" s="2" t="s">
        <v>87</v>
      </c>
      <c r="F269" s="2" t="n">
        <v>1</v>
      </c>
      <c r="G269" s="8" t="n">
        <v>29.99</v>
      </c>
      <c r="H269" s="8" t="n">
        <v>9</v>
      </c>
      <c r="I269" s="2" t="s">
        <v>110</v>
      </c>
      <c r="J269" s="8" t="n">
        <f aca="false">F269*G269</f>
        <v>29.99</v>
      </c>
      <c r="K269" s="8" t="n">
        <f aca="false">ROUND(J269*Ipoteze!$B$4,2)</f>
        <v>6.3</v>
      </c>
      <c r="L269" s="8" t="n">
        <f aca="false">J269+K269</f>
        <v>36.29</v>
      </c>
      <c r="M269" s="8" t="n">
        <f aca="false">F269*H269</f>
        <v>9</v>
      </c>
      <c r="N269" s="2" t="n">
        <f aca="false">INDEX(Clienti!$E:$E,MATCH(I269,Clienti!$A:$A,0))</f>
        <v>0</v>
      </c>
      <c r="O269" s="19" t="n">
        <f aca="false">B269+N269</f>
        <v>46272</v>
      </c>
      <c r="P269" s="2" t="str">
        <f aca="false">IF(O269&gt;Ipoteze!$B$11,"Neincasat","Incasat")</f>
        <v>Incasat</v>
      </c>
    </row>
    <row r="270" customFormat="false" ht="15" hidden="false" customHeight="false" outlineLevel="0" collapsed="false">
      <c r="A270" s="2" t="s">
        <v>343</v>
      </c>
      <c r="B270" s="19" t="n">
        <v>46273</v>
      </c>
      <c r="C270" s="2" t="s">
        <v>375</v>
      </c>
      <c r="D270" s="2" t="s">
        <v>101</v>
      </c>
      <c r="E270" s="2" t="s">
        <v>79</v>
      </c>
      <c r="F270" s="2" t="n">
        <v>1</v>
      </c>
      <c r="G270" s="8" t="n">
        <v>149</v>
      </c>
      <c r="H270" s="8" t="n">
        <v>75</v>
      </c>
      <c r="I270" s="2" t="s">
        <v>92</v>
      </c>
      <c r="J270" s="8" t="n">
        <f aca="false">F270*G270</f>
        <v>149</v>
      </c>
      <c r="K270" s="8" t="n">
        <f aca="false">ROUND(J270*Ipoteze!$B$4,2)</f>
        <v>31.29</v>
      </c>
      <c r="L270" s="8" t="n">
        <f aca="false">J270+K270</f>
        <v>180.29</v>
      </c>
      <c r="M270" s="8" t="n">
        <f aca="false">F270*H270</f>
        <v>75</v>
      </c>
      <c r="N270" s="2" t="n">
        <f aca="false">INDEX(Clienti!$E:$E,MATCH(I270,Clienti!$A:$A,0))</f>
        <v>14</v>
      </c>
      <c r="O270" s="19" t="n">
        <f aca="false">B270+N270</f>
        <v>46287</v>
      </c>
      <c r="P270" s="2" t="str">
        <f aca="false">IF(O270&gt;Ipoteze!$B$11,"Neincasat","Incasat")</f>
        <v>Incasat</v>
      </c>
    </row>
    <row r="271" customFormat="false" ht="15" hidden="false" customHeight="false" outlineLevel="0" collapsed="false">
      <c r="A271" s="2" t="s">
        <v>343</v>
      </c>
      <c r="B271" s="19" t="n">
        <v>46273</v>
      </c>
      <c r="C271" s="2" t="s">
        <v>376</v>
      </c>
      <c r="D271" s="2" t="s">
        <v>89</v>
      </c>
      <c r="E271" s="2" t="s">
        <v>87</v>
      </c>
      <c r="F271" s="2" t="n">
        <v>12</v>
      </c>
      <c r="G271" s="8" t="n">
        <v>29.99</v>
      </c>
      <c r="H271" s="8" t="n">
        <v>9</v>
      </c>
      <c r="I271" s="2" t="s">
        <v>80</v>
      </c>
      <c r="J271" s="8" t="n">
        <f aca="false">F271*G271</f>
        <v>359.88</v>
      </c>
      <c r="K271" s="8" t="n">
        <f aca="false">ROUND(J271*Ipoteze!$B$4,2)</f>
        <v>75.57</v>
      </c>
      <c r="L271" s="8" t="n">
        <f aca="false">J271+K271</f>
        <v>435.45</v>
      </c>
      <c r="M271" s="8" t="n">
        <f aca="false">F271*H271</f>
        <v>108</v>
      </c>
      <c r="N271" s="2" t="n">
        <f aca="false">INDEX(Clienti!$E:$E,MATCH(I271,Clienti!$A:$A,0))</f>
        <v>15</v>
      </c>
      <c r="O271" s="19" t="n">
        <f aca="false">B271+N271</f>
        <v>46288</v>
      </c>
      <c r="P271" s="2" t="str">
        <f aca="false">IF(O271&gt;Ipoteze!$B$11,"Neincasat","Incasat")</f>
        <v>Incasat</v>
      </c>
    </row>
    <row r="272" customFormat="false" ht="15" hidden="false" customHeight="false" outlineLevel="0" collapsed="false">
      <c r="A272" s="2" t="s">
        <v>343</v>
      </c>
      <c r="B272" s="19" t="n">
        <v>46273</v>
      </c>
      <c r="C272" s="2" t="s">
        <v>377</v>
      </c>
      <c r="D272" s="2" t="s">
        <v>124</v>
      </c>
      <c r="E272" s="2" t="s">
        <v>98</v>
      </c>
      <c r="F272" s="2" t="n">
        <v>23</v>
      </c>
      <c r="G272" s="8" t="n">
        <v>39.9</v>
      </c>
      <c r="H272" s="8" t="n">
        <v>18</v>
      </c>
      <c r="I272" s="2" t="s">
        <v>125</v>
      </c>
      <c r="J272" s="8" t="n">
        <f aca="false">F272*G272</f>
        <v>917.7</v>
      </c>
      <c r="K272" s="8" t="n">
        <f aca="false">ROUND(J272*Ipoteze!$B$4,2)</f>
        <v>192.72</v>
      </c>
      <c r="L272" s="8" t="n">
        <f aca="false">J272+K272</f>
        <v>1110.42</v>
      </c>
      <c r="M272" s="8" t="n">
        <f aca="false">F272*H272</f>
        <v>414</v>
      </c>
      <c r="N272" s="2" t="n">
        <f aca="false">INDEX(Clienti!$E:$E,MATCH(I272,Clienti!$A:$A,0))</f>
        <v>15</v>
      </c>
      <c r="O272" s="19" t="n">
        <f aca="false">B272+N272</f>
        <v>46288</v>
      </c>
      <c r="P272" s="2" t="str">
        <f aca="false">IF(O272&gt;Ipoteze!$B$11,"Neincasat","Incasat")</f>
        <v>Incasat</v>
      </c>
    </row>
    <row r="273" customFormat="false" ht="15" hidden="false" customHeight="false" outlineLevel="0" collapsed="false">
      <c r="A273" s="2" t="s">
        <v>343</v>
      </c>
      <c r="B273" s="19" t="n">
        <v>46273</v>
      </c>
      <c r="C273" s="2" t="s">
        <v>378</v>
      </c>
      <c r="D273" s="2" t="s">
        <v>89</v>
      </c>
      <c r="E273" s="2" t="s">
        <v>87</v>
      </c>
      <c r="F273" s="2" t="n">
        <v>9</v>
      </c>
      <c r="G273" s="8" t="n">
        <v>29.99</v>
      </c>
      <c r="H273" s="8" t="n">
        <v>9</v>
      </c>
      <c r="I273" s="2" t="s">
        <v>99</v>
      </c>
      <c r="J273" s="8" t="n">
        <f aca="false">F273*G273</f>
        <v>269.91</v>
      </c>
      <c r="K273" s="8" t="n">
        <f aca="false">ROUND(J273*Ipoteze!$B$4,2)</f>
        <v>56.68</v>
      </c>
      <c r="L273" s="8" t="n">
        <f aca="false">J273+K273</f>
        <v>326.59</v>
      </c>
      <c r="M273" s="8" t="n">
        <f aca="false">F273*H273</f>
        <v>81</v>
      </c>
      <c r="N273" s="2" t="n">
        <f aca="false">INDEX(Clienti!$E:$E,MATCH(I273,Clienti!$A:$A,0))</f>
        <v>30</v>
      </c>
      <c r="O273" s="19" t="n">
        <f aca="false">B273+N273</f>
        <v>46303</v>
      </c>
      <c r="P273" s="2" t="str">
        <f aca="false">IF(O273&gt;Ipoteze!$B$11,"Neincasat","Incasat")</f>
        <v>Neincasat</v>
      </c>
    </row>
    <row r="274" customFormat="false" ht="15" hidden="false" customHeight="false" outlineLevel="0" collapsed="false">
      <c r="A274" s="2" t="s">
        <v>343</v>
      </c>
      <c r="B274" s="19" t="n">
        <v>46273</v>
      </c>
      <c r="C274" s="2" t="s">
        <v>379</v>
      </c>
      <c r="D274" s="2" t="s">
        <v>113</v>
      </c>
      <c r="E274" s="2" t="s">
        <v>114</v>
      </c>
      <c r="F274" s="2" t="n">
        <v>2</v>
      </c>
      <c r="G274" s="8" t="n">
        <v>1199</v>
      </c>
      <c r="H274" s="8" t="n">
        <v>780</v>
      </c>
      <c r="I274" s="2" t="s">
        <v>110</v>
      </c>
      <c r="J274" s="8" t="n">
        <f aca="false">F274*G274</f>
        <v>2398</v>
      </c>
      <c r="K274" s="8" t="n">
        <f aca="false">ROUND(J274*Ipoteze!$B$4,2)</f>
        <v>503.58</v>
      </c>
      <c r="L274" s="8" t="n">
        <f aca="false">J274+K274</f>
        <v>2901.58</v>
      </c>
      <c r="M274" s="8" t="n">
        <f aca="false">F274*H274</f>
        <v>1560</v>
      </c>
      <c r="N274" s="2" t="n">
        <f aca="false">INDEX(Clienti!$E:$E,MATCH(I274,Clienti!$A:$A,0))</f>
        <v>0</v>
      </c>
      <c r="O274" s="19" t="n">
        <f aca="false">B274+N274</f>
        <v>46273</v>
      </c>
      <c r="P274" s="2" t="str">
        <f aca="false">IF(O274&gt;Ipoteze!$B$11,"Neincasat","Incasat")</f>
        <v>Incasat</v>
      </c>
    </row>
    <row r="275" customFormat="false" ht="15" hidden="false" customHeight="false" outlineLevel="0" collapsed="false">
      <c r="A275" s="2" t="s">
        <v>343</v>
      </c>
      <c r="B275" s="19" t="n">
        <v>46273</v>
      </c>
      <c r="C275" s="2" t="s">
        <v>380</v>
      </c>
      <c r="D275" s="2" t="s">
        <v>101</v>
      </c>
      <c r="E275" s="2" t="s">
        <v>79</v>
      </c>
      <c r="F275" s="2" t="n">
        <v>2</v>
      </c>
      <c r="G275" s="8" t="n">
        <v>149</v>
      </c>
      <c r="H275" s="8" t="n">
        <v>75</v>
      </c>
      <c r="I275" s="2" t="s">
        <v>110</v>
      </c>
      <c r="J275" s="8" t="n">
        <f aca="false">F275*G275</f>
        <v>298</v>
      </c>
      <c r="K275" s="8" t="n">
        <f aca="false">ROUND(J275*Ipoteze!$B$4,2)</f>
        <v>62.58</v>
      </c>
      <c r="L275" s="8" t="n">
        <f aca="false">J275+K275</f>
        <v>360.58</v>
      </c>
      <c r="M275" s="8" t="n">
        <f aca="false">F275*H275</f>
        <v>150</v>
      </c>
      <c r="N275" s="2" t="n">
        <f aca="false">INDEX(Clienti!$E:$E,MATCH(I275,Clienti!$A:$A,0))</f>
        <v>0</v>
      </c>
      <c r="O275" s="19" t="n">
        <f aca="false">B275+N275</f>
        <v>46273</v>
      </c>
      <c r="P275" s="2" t="str">
        <f aca="false">IF(O275&gt;Ipoteze!$B$11,"Neincasat","Incasat")</f>
        <v>Incasat</v>
      </c>
    </row>
    <row r="276" customFormat="false" ht="15" hidden="false" customHeight="false" outlineLevel="0" collapsed="false">
      <c r="A276" s="2" t="s">
        <v>343</v>
      </c>
      <c r="B276" s="19" t="n">
        <v>46274</v>
      </c>
      <c r="C276" s="2" t="s">
        <v>381</v>
      </c>
      <c r="D276" s="2" t="s">
        <v>82</v>
      </c>
      <c r="E276" s="2" t="s">
        <v>83</v>
      </c>
      <c r="F276" s="2" t="n">
        <v>2</v>
      </c>
      <c r="G276" s="8" t="n">
        <v>79.99</v>
      </c>
      <c r="H276" s="8" t="n">
        <v>45</v>
      </c>
      <c r="I276" s="2" t="s">
        <v>110</v>
      </c>
      <c r="J276" s="8" t="n">
        <f aca="false">F276*G276</f>
        <v>159.98</v>
      </c>
      <c r="K276" s="8" t="n">
        <f aca="false">ROUND(J276*Ipoteze!$B$4,2)</f>
        <v>33.6</v>
      </c>
      <c r="L276" s="8" t="n">
        <f aca="false">J276+K276</f>
        <v>193.58</v>
      </c>
      <c r="M276" s="8" t="n">
        <f aca="false">F276*H276</f>
        <v>90</v>
      </c>
      <c r="N276" s="2" t="n">
        <f aca="false">INDEX(Clienti!$E:$E,MATCH(I276,Clienti!$A:$A,0))</f>
        <v>0</v>
      </c>
      <c r="O276" s="19" t="n">
        <f aca="false">B276+N276</f>
        <v>46274</v>
      </c>
      <c r="P276" s="2" t="str">
        <f aca="false">IF(O276&gt;Ipoteze!$B$11,"Neincasat","Incasat")</f>
        <v>Incasat</v>
      </c>
    </row>
    <row r="277" customFormat="false" ht="15" hidden="false" customHeight="false" outlineLevel="0" collapsed="false">
      <c r="A277" s="2" t="s">
        <v>343</v>
      </c>
      <c r="B277" s="19" t="n">
        <v>46274</v>
      </c>
      <c r="C277" s="2" t="s">
        <v>382</v>
      </c>
      <c r="D277" s="2" t="s">
        <v>113</v>
      </c>
      <c r="E277" s="2" t="s">
        <v>114</v>
      </c>
      <c r="F277" s="2" t="n">
        <v>4</v>
      </c>
      <c r="G277" s="8" t="n">
        <v>1199</v>
      </c>
      <c r="H277" s="8" t="n">
        <v>780</v>
      </c>
      <c r="I277" s="2" t="s">
        <v>125</v>
      </c>
      <c r="J277" s="8" t="n">
        <f aca="false">F277*G277</f>
        <v>4796</v>
      </c>
      <c r="K277" s="8" t="n">
        <f aca="false">ROUND(J277*Ipoteze!$B$4,2)</f>
        <v>1007.16</v>
      </c>
      <c r="L277" s="8" t="n">
        <f aca="false">J277+K277</f>
        <v>5803.16</v>
      </c>
      <c r="M277" s="8" t="n">
        <f aca="false">F277*H277</f>
        <v>3120</v>
      </c>
      <c r="N277" s="2" t="n">
        <f aca="false">INDEX(Clienti!$E:$E,MATCH(I277,Clienti!$A:$A,0))</f>
        <v>15</v>
      </c>
      <c r="O277" s="19" t="n">
        <f aca="false">B277+N277</f>
        <v>46289</v>
      </c>
      <c r="P277" s="2" t="str">
        <f aca="false">IF(O277&gt;Ipoteze!$B$11,"Neincasat","Incasat")</f>
        <v>Incasat</v>
      </c>
    </row>
    <row r="278" customFormat="false" ht="15" hidden="false" customHeight="false" outlineLevel="0" collapsed="false">
      <c r="A278" s="2" t="s">
        <v>343</v>
      </c>
      <c r="B278" s="19" t="n">
        <v>46274</v>
      </c>
      <c r="C278" s="2" t="s">
        <v>383</v>
      </c>
      <c r="D278" s="2" t="s">
        <v>82</v>
      </c>
      <c r="E278" s="2" t="s">
        <v>83</v>
      </c>
      <c r="F278" s="2" t="n">
        <v>1</v>
      </c>
      <c r="G278" s="8" t="n">
        <v>79.99</v>
      </c>
      <c r="H278" s="8" t="n">
        <v>45</v>
      </c>
      <c r="I278" s="2" t="s">
        <v>84</v>
      </c>
      <c r="J278" s="8" t="n">
        <f aca="false">F278*G278</f>
        <v>79.99</v>
      </c>
      <c r="K278" s="8" t="n">
        <f aca="false">ROUND(J278*Ipoteze!$B$4,2)</f>
        <v>16.8</v>
      </c>
      <c r="L278" s="8" t="n">
        <f aca="false">J278+K278</f>
        <v>96.79</v>
      </c>
      <c r="M278" s="8" t="n">
        <f aca="false">F278*H278</f>
        <v>45</v>
      </c>
      <c r="N278" s="2" t="n">
        <f aca="false">INDEX(Clienti!$E:$E,MATCH(I278,Clienti!$A:$A,0))</f>
        <v>0</v>
      </c>
      <c r="O278" s="19" t="n">
        <f aca="false">B278+N278</f>
        <v>46274</v>
      </c>
      <c r="P278" s="2" t="str">
        <f aca="false">IF(O278&gt;Ipoteze!$B$11,"Neincasat","Incasat")</f>
        <v>Incasat</v>
      </c>
    </row>
    <row r="279" customFormat="false" ht="15" hidden="false" customHeight="false" outlineLevel="0" collapsed="false">
      <c r="A279" s="2" t="s">
        <v>343</v>
      </c>
      <c r="B279" s="19" t="n">
        <v>46275</v>
      </c>
      <c r="C279" s="2" t="s">
        <v>384</v>
      </c>
      <c r="D279" s="2" t="s">
        <v>104</v>
      </c>
      <c r="E279" s="2" t="s">
        <v>105</v>
      </c>
      <c r="F279" s="2" t="n">
        <v>15</v>
      </c>
      <c r="G279" s="8" t="n">
        <v>219.5</v>
      </c>
      <c r="H279" s="8" t="n">
        <v>120</v>
      </c>
      <c r="I279" s="2" t="s">
        <v>99</v>
      </c>
      <c r="J279" s="8" t="n">
        <f aca="false">F279*G279</f>
        <v>3292.5</v>
      </c>
      <c r="K279" s="8" t="n">
        <f aca="false">ROUND(J279*Ipoteze!$B$4,2)</f>
        <v>691.43</v>
      </c>
      <c r="L279" s="8" t="n">
        <f aca="false">J279+K279</f>
        <v>3983.93</v>
      </c>
      <c r="M279" s="8" t="n">
        <f aca="false">F279*H279</f>
        <v>1800</v>
      </c>
      <c r="N279" s="2" t="n">
        <f aca="false">INDEX(Clienti!$E:$E,MATCH(I279,Clienti!$A:$A,0))</f>
        <v>30</v>
      </c>
      <c r="O279" s="19" t="n">
        <f aca="false">B279+N279</f>
        <v>46305</v>
      </c>
      <c r="P279" s="2" t="str">
        <f aca="false">IF(O279&gt;Ipoteze!$B$11,"Neincasat","Incasat")</f>
        <v>Neincasat</v>
      </c>
    </row>
    <row r="280" customFormat="false" ht="15" hidden="false" customHeight="false" outlineLevel="0" collapsed="false">
      <c r="A280" s="2" t="s">
        <v>343</v>
      </c>
      <c r="B280" s="19" t="n">
        <v>46275</v>
      </c>
      <c r="C280" s="2" t="s">
        <v>385</v>
      </c>
      <c r="D280" s="2" t="s">
        <v>97</v>
      </c>
      <c r="E280" s="2" t="s">
        <v>98</v>
      </c>
      <c r="F280" s="2" t="n">
        <v>23</v>
      </c>
      <c r="G280" s="8" t="n">
        <v>449</v>
      </c>
      <c r="H280" s="8" t="n">
        <v>290</v>
      </c>
      <c r="I280" s="2" t="s">
        <v>99</v>
      </c>
      <c r="J280" s="8" t="n">
        <f aca="false">F280*G280</f>
        <v>10327</v>
      </c>
      <c r="K280" s="8" t="n">
        <f aca="false">ROUND(J280*Ipoteze!$B$4,2)</f>
        <v>2168.67</v>
      </c>
      <c r="L280" s="8" t="n">
        <f aca="false">J280+K280</f>
        <v>12495.67</v>
      </c>
      <c r="M280" s="8" t="n">
        <f aca="false">F280*H280</f>
        <v>6670</v>
      </c>
      <c r="N280" s="2" t="n">
        <f aca="false">INDEX(Clienti!$E:$E,MATCH(I280,Clienti!$A:$A,0))</f>
        <v>30</v>
      </c>
      <c r="O280" s="19" t="n">
        <f aca="false">B280+N280</f>
        <v>46305</v>
      </c>
      <c r="P280" s="2" t="str">
        <f aca="false">IF(O280&gt;Ipoteze!$B$11,"Neincasat","Incasat")</f>
        <v>Neincasat</v>
      </c>
    </row>
    <row r="281" customFormat="false" ht="15" hidden="false" customHeight="false" outlineLevel="0" collapsed="false">
      <c r="A281" s="2" t="s">
        <v>343</v>
      </c>
      <c r="B281" s="19" t="n">
        <v>46275</v>
      </c>
      <c r="C281" s="2" t="s">
        <v>386</v>
      </c>
      <c r="D281" s="2" t="s">
        <v>89</v>
      </c>
      <c r="E281" s="2" t="s">
        <v>87</v>
      </c>
      <c r="F281" s="2" t="n">
        <v>2</v>
      </c>
      <c r="G281" s="8" t="n">
        <v>29.99</v>
      </c>
      <c r="H281" s="8" t="n">
        <v>9</v>
      </c>
      <c r="I281" s="2" t="s">
        <v>92</v>
      </c>
      <c r="J281" s="8" t="n">
        <f aca="false">F281*G281</f>
        <v>59.98</v>
      </c>
      <c r="K281" s="8" t="n">
        <f aca="false">ROUND(J281*Ipoteze!$B$4,2)</f>
        <v>12.6</v>
      </c>
      <c r="L281" s="8" t="n">
        <f aca="false">J281+K281</f>
        <v>72.58</v>
      </c>
      <c r="M281" s="8" t="n">
        <f aca="false">F281*H281</f>
        <v>18</v>
      </c>
      <c r="N281" s="2" t="n">
        <f aca="false">INDEX(Clienti!$E:$E,MATCH(I281,Clienti!$A:$A,0))</f>
        <v>14</v>
      </c>
      <c r="O281" s="19" t="n">
        <f aca="false">B281+N281</f>
        <v>46289</v>
      </c>
      <c r="P281" s="2" t="str">
        <f aca="false">IF(O281&gt;Ipoteze!$B$11,"Neincasat","Incasat")</f>
        <v>Incasat</v>
      </c>
    </row>
    <row r="282" customFormat="false" ht="15" hidden="false" customHeight="false" outlineLevel="0" collapsed="false">
      <c r="A282" s="2" t="s">
        <v>343</v>
      </c>
      <c r="B282" s="19" t="n">
        <v>46276</v>
      </c>
      <c r="C282" s="2" t="s">
        <v>387</v>
      </c>
      <c r="D282" s="2" t="s">
        <v>86</v>
      </c>
      <c r="E282" s="2" t="s">
        <v>87</v>
      </c>
      <c r="F282" s="2" t="n">
        <v>2</v>
      </c>
      <c r="G282" s="8" t="n">
        <v>54.9</v>
      </c>
      <c r="H282" s="8" t="n">
        <v>22</v>
      </c>
      <c r="I282" s="2" t="s">
        <v>110</v>
      </c>
      <c r="J282" s="8" t="n">
        <f aca="false">F282*G282</f>
        <v>109.8</v>
      </c>
      <c r="K282" s="8" t="n">
        <f aca="false">ROUND(J282*Ipoteze!$B$4,2)</f>
        <v>23.06</v>
      </c>
      <c r="L282" s="8" t="n">
        <f aca="false">J282+K282</f>
        <v>132.86</v>
      </c>
      <c r="M282" s="8" t="n">
        <f aca="false">F282*H282</f>
        <v>44</v>
      </c>
      <c r="N282" s="2" t="n">
        <f aca="false">INDEX(Clienti!$E:$E,MATCH(I282,Clienti!$A:$A,0))</f>
        <v>0</v>
      </c>
      <c r="O282" s="19" t="n">
        <f aca="false">B282+N282</f>
        <v>46276</v>
      </c>
      <c r="P282" s="2" t="str">
        <f aca="false">IF(O282&gt;Ipoteze!$B$11,"Neincasat","Incasat")</f>
        <v>Incasat</v>
      </c>
    </row>
    <row r="283" customFormat="false" ht="15" hidden="false" customHeight="false" outlineLevel="0" collapsed="false">
      <c r="A283" s="2" t="s">
        <v>343</v>
      </c>
      <c r="B283" s="19" t="n">
        <v>46276</v>
      </c>
      <c r="C283" s="2" t="s">
        <v>388</v>
      </c>
      <c r="D283" s="2" t="s">
        <v>89</v>
      </c>
      <c r="E283" s="2" t="s">
        <v>87</v>
      </c>
      <c r="F283" s="2" t="n">
        <v>2</v>
      </c>
      <c r="G283" s="8" t="n">
        <v>29.99</v>
      </c>
      <c r="H283" s="8" t="n">
        <v>9</v>
      </c>
      <c r="I283" s="2" t="s">
        <v>92</v>
      </c>
      <c r="J283" s="8" t="n">
        <f aca="false">F283*G283</f>
        <v>59.98</v>
      </c>
      <c r="K283" s="8" t="n">
        <f aca="false">ROUND(J283*Ipoteze!$B$4,2)</f>
        <v>12.6</v>
      </c>
      <c r="L283" s="8" t="n">
        <f aca="false">J283+K283</f>
        <v>72.58</v>
      </c>
      <c r="M283" s="8" t="n">
        <f aca="false">F283*H283</f>
        <v>18</v>
      </c>
      <c r="N283" s="2" t="n">
        <f aca="false">INDEX(Clienti!$E:$E,MATCH(I283,Clienti!$A:$A,0))</f>
        <v>14</v>
      </c>
      <c r="O283" s="19" t="n">
        <f aca="false">B283+N283</f>
        <v>46290</v>
      </c>
      <c r="P283" s="2" t="str">
        <f aca="false">IF(O283&gt;Ipoteze!$B$11,"Neincasat","Incasat")</f>
        <v>Incasat</v>
      </c>
    </row>
    <row r="284" customFormat="false" ht="15" hidden="false" customHeight="false" outlineLevel="0" collapsed="false">
      <c r="A284" s="2" t="s">
        <v>343</v>
      </c>
      <c r="B284" s="19" t="n">
        <v>46276</v>
      </c>
      <c r="C284" s="2" t="s">
        <v>389</v>
      </c>
      <c r="D284" s="2" t="s">
        <v>101</v>
      </c>
      <c r="E284" s="2" t="s">
        <v>79</v>
      </c>
      <c r="F284" s="2" t="n">
        <v>20</v>
      </c>
      <c r="G284" s="8" t="n">
        <v>149</v>
      </c>
      <c r="H284" s="8" t="n">
        <v>75</v>
      </c>
      <c r="I284" s="2" t="s">
        <v>99</v>
      </c>
      <c r="J284" s="8" t="n">
        <f aca="false">F284*G284</f>
        <v>2980</v>
      </c>
      <c r="K284" s="8" t="n">
        <f aca="false">ROUND(J284*Ipoteze!$B$4,2)</f>
        <v>625.8</v>
      </c>
      <c r="L284" s="8" t="n">
        <f aca="false">J284+K284</f>
        <v>3605.8</v>
      </c>
      <c r="M284" s="8" t="n">
        <f aca="false">F284*H284</f>
        <v>1500</v>
      </c>
      <c r="N284" s="2" t="n">
        <f aca="false">INDEX(Clienti!$E:$E,MATCH(I284,Clienti!$A:$A,0))</f>
        <v>30</v>
      </c>
      <c r="O284" s="19" t="n">
        <f aca="false">B284+N284</f>
        <v>46306</v>
      </c>
      <c r="P284" s="2" t="str">
        <f aca="false">IF(O284&gt;Ipoteze!$B$11,"Neincasat","Incasat")</f>
        <v>Neincasat</v>
      </c>
    </row>
    <row r="285" customFormat="false" ht="15" hidden="false" customHeight="false" outlineLevel="0" collapsed="false">
      <c r="A285" s="2" t="s">
        <v>343</v>
      </c>
      <c r="B285" s="19" t="n">
        <v>46277</v>
      </c>
      <c r="C285" s="2" t="s">
        <v>390</v>
      </c>
      <c r="D285" s="2" t="s">
        <v>82</v>
      </c>
      <c r="E285" s="2" t="s">
        <v>83</v>
      </c>
      <c r="F285" s="2" t="n">
        <v>9</v>
      </c>
      <c r="G285" s="8" t="n">
        <v>79.99</v>
      </c>
      <c r="H285" s="8" t="n">
        <v>45</v>
      </c>
      <c r="I285" s="2" t="s">
        <v>99</v>
      </c>
      <c r="J285" s="8" t="n">
        <f aca="false">F285*G285</f>
        <v>719.91</v>
      </c>
      <c r="K285" s="8" t="n">
        <f aca="false">ROUND(J285*Ipoteze!$B$4,2)</f>
        <v>151.18</v>
      </c>
      <c r="L285" s="8" t="n">
        <f aca="false">J285+K285</f>
        <v>871.09</v>
      </c>
      <c r="M285" s="8" t="n">
        <f aca="false">F285*H285</f>
        <v>405</v>
      </c>
      <c r="N285" s="2" t="n">
        <f aca="false">INDEX(Clienti!$E:$E,MATCH(I285,Clienti!$A:$A,0))</f>
        <v>30</v>
      </c>
      <c r="O285" s="19" t="n">
        <f aca="false">B285+N285</f>
        <v>46307</v>
      </c>
      <c r="P285" s="2" t="str">
        <f aca="false">IF(O285&gt;Ipoteze!$B$11,"Neincasat","Incasat")</f>
        <v>Neincasat</v>
      </c>
    </row>
    <row r="286" customFormat="false" ht="15" hidden="false" customHeight="false" outlineLevel="0" collapsed="false">
      <c r="A286" s="2" t="s">
        <v>343</v>
      </c>
      <c r="B286" s="19" t="n">
        <v>46277</v>
      </c>
      <c r="C286" s="2" t="s">
        <v>391</v>
      </c>
      <c r="D286" s="2" t="s">
        <v>86</v>
      </c>
      <c r="E286" s="2" t="s">
        <v>87</v>
      </c>
      <c r="F286" s="2" t="n">
        <v>1</v>
      </c>
      <c r="G286" s="8" t="n">
        <v>54.9</v>
      </c>
      <c r="H286" s="8" t="n">
        <v>22</v>
      </c>
      <c r="I286" s="2" t="s">
        <v>110</v>
      </c>
      <c r="J286" s="8" t="n">
        <f aca="false">F286*G286</f>
        <v>54.9</v>
      </c>
      <c r="K286" s="8" t="n">
        <f aca="false">ROUND(J286*Ipoteze!$B$4,2)</f>
        <v>11.53</v>
      </c>
      <c r="L286" s="8" t="n">
        <f aca="false">J286+K286</f>
        <v>66.43</v>
      </c>
      <c r="M286" s="8" t="n">
        <f aca="false">F286*H286</f>
        <v>22</v>
      </c>
      <c r="N286" s="2" t="n">
        <f aca="false">INDEX(Clienti!$E:$E,MATCH(I286,Clienti!$A:$A,0))</f>
        <v>0</v>
      </c>
      <c r="O286" s="19" t="n">
        <f aca="false">B286+N286</f>
        <v>46277</v>
      </c>
      <c r="P286" s="2" t="str">
        <f aca="false">IF(O286&gt;Ipoteze!$B$11,"Neincasat","Incasat")</f>
        <v>Incasat</v>
      </c>
    </row>
    <row r="287" customFormat="false" ht="15" hidden="false" customHeight="false" outlineLevel="0" collapsed="false">
      <c r="A287" s="2" t="s">
        <v>343</v>
      </c>
      <c r="B287" s="19" t="n">
        <v>46277</v>
      </c>
      <c r="C287" s="2" t="s">
        <v>392</v>
      </c>
      <c r="D287" s="2" t="s">
        <v>82</v>
      </c>
      <c r="E287" s="2" t="s">
        <v>83</v>
      </c>
      <c r="F287" s="2" t="n">
        <v>2</v>
      </c>
      <c r="G287" s="8" t="n">
        <v>79.99</v>
      </c>
      <c r="H287" s="8" t="n">
        <v>45</v>
      </c>
      <c r="I287" s="2" t="s">
        <v>84</v>
      </c>
      <c r="J287" s="8" t="n">
        <f aca="false">F287*G287</f>
        <v>159.98</v>
      </c>
      <c r="K287" s="8" t="n">
        <f aca="false">ROUND(J287*Ipoteze!$B$4,2)</f>
        <v>33.6</v>
      </c>
      <c r="L287" s="8" t="n">
        <f aca="false">J287+K287</f>
        <v>193.58</v>
      </c>
      <c r="M287" s="8" t="n">
        <f aca="false">F287*H287</f>
        <v>90</v>
      </c>
      <c r="N287" s="2" t="n">
        <f aca="false">INDEX(Clienti!$E:$E,MATCH(I287,Clienti!$A:$A,0))</f>
        <v>0</v>
      </c>
      <c r="O287" s="19" t="n">
        <f aca="false">B287+N287</f>
        <v>46277</v>
      </c>
      <c r="P287" s="2" t="str">
        <f aca="false">IF(O287&gt;Ipoteze!$B$11,"Neincasat","Incasat")</f>
        <v>Incasat</v>
      </c>
    </row>
    <row r="288" customFormat="false" ht="15" hidden="false" customHeight="false" outlineLevel="0" collapsed="false">
      <c r="A288" s="2" t="s">
        <v>343</v>
      </c>
      <c r="B288" s="19" t="n">
        <v>46277</v>
      </c>
      <c r="C288" s="2" t="s">
        <v>393</v>
      </c>
      <c r="D288" s="2" t="s">
        <v>134</v>
      </c>
      <c r="E288" s="2" t="s">
        <v>105</v>
      </c>
      <c r="F288" s="2" t="n">
        <v>16</v>
      </c>
      <c r="G288" s="8" t="n">
        <v>129.9</v>
      </c>
      <c r="H288" s="8" t="n">
        <v>70</v>
      </c>
      <c r="I288" s="2" t="s">
        <v>116</v>
      </c>
      <c r="J288" s="8" t="n">
        <f aca="false">F288*G288</f>
        <v>2078.4</v>
      </c>
      <c r="K288" s="8" t="n">
        <f aca="false">ROUND(J288*Ipoteze!$B$4,2)</f>
        <v>436.46</v>
      </c>
      <c r="L288" s="8" t="n">
        <f aca="false">J288+K288</f>
        <v>2514.86</v>
      </c>
      <c r="M288" s="8" t="n">
        <f aca="false">F288*H288</f>
        <v>1120</v>
      </c>
      <c r="N288" s="2" t="n">
        <f aca="false">INDEX(Clienti!$E:$E,MATCH(I288,Clienti!$A:$A,0))</f>
        <v>30</v>
      </c>
      <c r="O288" s="19" t="n">
        <f aca="false">B288+N288</f>
        <v>46307</v>
      </c>
      <c r="P288" s="2" t="str">
        <f aca="false">IF(O288&gt;Ipoteze!$B$11,"Neincasat","Incasat")</f>
        <v>Neincasat</v>
      </c>
    </row>
    <row r="289" customFormat="false" ht="15" hidden="false" customHeight="false" outlineLevel="0" collapsed="false">
      <c r="A289" s="2" t="s">
        <v>343</v>
      </c>
      <c r="B289" s="19" t="n">
        <v>46277</v>
      </c>
      <c r="C289" s="2" t="s">
        <v>394</v>
      </c>
      <c r="D289" s="2" t="s">
        <v>89</v>
      </c>
      <c r="E289" s="2" t="s">
        <v>87</v>
      </c>
      <c r="F289" s="2" t="n">
        <v>2</v>
      </c>
      <c r="G289" s="8" t="n">
        <v>29.99</v>
      </c>
      <c r="H289" s="8" t="n">
        <v>9</v>
      </c>
      <c r="I289" s="2" t="s">
        <v>84</v>
      </c>
      <c r="J289" s="8" t="n">
        <f aca="false">F289*G289</f>
        <v>59.98</v>
      </c>
      <c r="K289" s="8" t="n">
        <f aca="false">ROUND(J289*Ipoteze!$B$4,2)</f>
        <v>12.6</v>
      </c>
      <c r="L289" s="8" t="n">
        <f aca="false">J289+K289</f>
        <v>72.58</v>
      </c>
      <c r="M289" s="8" t="n">
        <f aca="false">F289*H289</f>
        <v>18</v>
      </c>
      <c r="N289" s="2" t="n">
        <f aca="false">INDEX(Clienti!$E:$E,MATCH(I289,Clienti!$A:$A,0))</f>
        <v>0</v>
      </c>
      <c r="O289" s="19" t="n">
        <f aca="false">B289+N289</f>
        <v>46277</v>
      </c>
      <c r="P289" s="2" t="str">
        <f aca="false">IF(O289&gt;Ipoteze!$B$11,"Neincasat","Incasat")</f>
        <v>Incasat</v>
      </c>
    </row>
    <row r="290" customFormat="false" ht="15" hidden="false" customHeight="false" outlineLevel="0" collapsed="false">
      <c r="A290" s="2" t="s">
        <v>343</v>
      </c>
      <c r="B290" s="19" t="n">
        <v>46277</v>
      </c>
      <c r="C290" s="2" t="s">
        <v>395</v>
      </c>
      <c r="D290" s="2" t="s">
        <v>78</v>
      </c>
      <c r="E290" s="2" t="s">
        <v>79</v>
      </c>
      <c r="F290" s="2" t="n">
        <v>3</v>
      </c>
      <c r="G290" s="8" t="n">
        <v>169</v>
      </c>
      <c r="H290" s="8" t="n">
        <v>85</v>
      </c>
      <c r="I290" s="2" t="s">
        <v>84</v>
      </c>
      <c r="J290" s="8" t="n">
        <f aca="false">F290*G290</f>
        <v>507</v>
      </c>
      <c r="K290" s="8" t="n">
        <f aca="false">ROUND(J290*Ipoteze!$B$4,2)</f>
        <v>106.47</v>
      </c>
      <c r="L290" s="8" t="n">
        <f aca="false">J290+K290</f>
        <v>613.47</v>
      </c>
      <c r="M290" s="8" t="n">
        <f aca="false">F290*H290</f>
        <v>255</v>
      </c>
      <c r="N290" s="2" t="n">
        <f aca="false">INDEX(Clienti!$E:$E,MATCH(I290,Clienti!$A:$A,0))</f>
        <v>0</v>
      </c>
      <c r="O290" s="19" t="n">
        <f aca="false">B290+N290</f>
        <v>46277</v>
      </c>
      <c r="P290" s="2" t="str">
        <f aca="false">IF(O290&gt;Ipoteze!$B$11,"Neincasat","Incasat")</f>
        <v>Incasat</v>
      </c>
    </row>
    <row r="291" customFormat="false" ht="15" hidden="false" customHeight="false" outlineLevel="0" collapsed="false">
      <c r="A291" s="2" t="s">
        <v>343</v>
      </c>
      <c r="B291" s="19" t="n">
        <v>46279</v>
      </c>
      <c r="C291" s="2" t="s">
        <v>396</v>
      </c>
      <c r="D291" s="2" t="s">
        <v>94</v>
      </c>
      <c r="E291" s="2" t="s">
        <v>79</v>
      </c>
      <c r="F291" s="2" t="n">
        <v>16</v>
      </c>
      <c r="G291" s="8" t="n">
        <v>49.9</v>
      </c>
      <c r="H291" s="8" t="n">
        <v>19</v>
      </c>
      <c r="I291" s="2" t="s">
        <v>80</v>
      </c>
      <c r="J291" s="8" t="n">
        <f aca="false">F291*G291</f>
        <v>798.4</v>
      </c>
      <c r="K291" s="8" t="n">
        <f aca="false">ROUND(J291*Ipoteze!$B$4,2)</f>
        <v>167.66</v>
      </c>
      <c r="L291" s="8" t="n">
        <f aca="false">J291+K291</f>
        <v>966.06</v>
      </c>
      <c r="M291" s="8" t="n">
        <f aca="false">F291*H291</f>
        <v>304</v>
      </c>
      <c r="N291" s="2" t="n">
        <f aca="false">INDEX(Clienti!$E:$E,MATCH(I291,Clienti!$A:$A,0))</f>
        <v>15</v>
      </c>
      <c r="O291" s="19" t="n">
        <f aca="false">B291+N291</f>
        <v>46294</v>
      </c>
      <c r="P291" s="2" t="str">
        <f aca="false">IF(O291&gt;Ipoteze!$B$11,"Neincasat","Incasat")</f>
        <v>Incasat</v>
      </c>
    </row>
    <row r="292" customFormat="false" ht="15" hidden="false" customHeight="false" outlineLevel="0" collapsed="false">
      <c r="A292" s="2" t="s">
        <v>343</v>
      </c>
      <c r="B292" s="19" t="n">
        <v>46279</v>
      </c>
      <c r="C292" s="2" t="s">
        <v>397</v>
      </c>
      <c r="D292" s="2" t="s">
        <v>108</v>
      </c>
      <c r="E292" s="2" t="s">
        <v>83</v>
      </c>
      <c r="F292" s="2" t="n">
        <v>21</v>
      </c>
      <c r="G292" s="8" t="n">
        <v>289</v>
      </c>
      <c r="H292" s="8" t="n">
        <v>160</v>
      </c>
      <c r="I292" s="2" t="s">
        <v>116</v>
      </c>
      <c r="J292" s="8" t="n">
        <f aca="false">F292*G292</f>
        <v>6069</v>
      </c>
      <c r="K292" s="8" t="n">
        <f aca="false">ROUND(J292*Ipoteze!$B$4,2)</f>
        <v>1274.49</v>
      </c>
      <c r="L292" s="8" t="n">
        <f aca="false">J292+K292</f>
        <v>7343.49</v>
      </c>
      <c r="M292" s="8" t="n">
        <f aca="false">F292*H292</f>
        <v>3360</v>
      </c>
      <c r="N292" s="2" t="n">
        <f aca="false">INDEX(Clienti!$E:$E,MATCH(I292,Clienti!$A:$A,0))</f>
        <v>30</v>
      </c>
      <c r="O292" s="19" t="n">
        <f aca="false">B292+N292</f>
        <v>46309</v>
      </c>
      <c r="P292" s="2" t="str">
        <f aca="false">IF(O292&gt;Ipoteze!$B$11,"Neincasat","Incasat")</f>
        <v>Neincasat</v>
      </c>
    </row>
    <row r="293" customFormat="false" ht="15" hidden="false" customHeight="false" outlineLevel="0" collapsed="false">
      <c r="A293" s="2" t="s">
        <v>343</v>
      </c>
      <c r="B293" s="19" t="n">
        <v>46279</v>
      </c>
      <c r="C293" s="2" t="s">
        <v>398</v>
      </c>
      <c r="D293" s="2" t="s">
        <v>101</v>
      </c>
      <c r="E293" s="2" t="s">
        <v>79</v>
      </c>
      <c r="F293" s="2" t="n">
        <v>1</v>
      </c>
      <c r="G293" s="8" t="n">
        <v>149</v>
      </c>
      <c r="H293" s="8" t="n">
        <v>75</v>
      </c>
      <c r="I293" s="2" t="s">
        <v>110</v>
      </c>
      <c r="J293" s="8" t="n">
        <f aca="false">F293*G293</f>
        <v>149</v>
      </c>
      <c r="K293" s="8" t="n">
        <f aca="false">ROUND(J293*Ipoteze!$B$4,2)</f>
        <v>31.29</v>
      </c>
      <c r="L293" s="8" t="n">
        <f aca="false">J293+K293</f>
        <v>180.29</v>
      </c>
      <c r="M293" s="8" t="n">
        <f aca="false">F293*H293</f>
        <v>75</v>
      </c>
      <c r="N293" s="2" t="n">
        <f aca="false">INDEX(Clienti!$E:$E,MATCH(I293,Clienti!$A:$A,0))</f>
        <v>0</v>
      </c>
      <c r="O293" s="19" t="n">
        <f aca="false">B293+N293</f>
        <v>46279</v>
      </c>
      <c r="P293" s="2" t="str">
        <f aca="false">IF(O293&gt;Ipoteze!$B$11,"Neincasat","Incasat")</f>
        <v>Incasat</v>
      </c>
    </row>
    <row r="294" customFormat="false" ht="15" hidden="false" customHeight="false" outlineLevel="0" collapsed="false">
      <c r="A294" s="2" t="s">
        <v>343</v>
      </c>
      <c r="B294" s="19" t="n">
        <v>46279</v>
      </c>
      <c r="C294" s="2" t="s">
        <v>399</v>
      </c>
      <c r="D294" s="2" t="s">
        <v>108</v>
      </c>
      <c r="E294" s="2" t="s">
        <v>83</v>
      </c>
      <c r="F294" s="2" t="n">
        <v>12</v>
      </c>
      <c r="G294" s="8" t="n">
        <v>289</v>
      </c>
      <c r="H294" s="8" t="n">
        <v>160</v>
      </c>
      <c r="I294" s="2" t="s">
        <v>125</v>
      </c>
      <c r="J294" s="8" t="n">
        <f aca="false">F294*G294</f>
        <v>3468</v>
      </c>
      <c r="K294" s="8" t="n">
        <f aca="false">ROUND(J294*Ipoteze!$B$4,2)</f>
        <v>728.28</v>
      </c>
      <c r="L294" s="8" t="n">
        <f aca="false">J294+K294</f>
        <v>4196.28</v>
      </c>
      <c r="M294" s="8" t="n">
        <f aca="false">F294*H294</f>
        <v>1920</v>
      </c>
      <c r="N294" s="2" t="n">
        <f aca="false">INDEX(Clienti!$E:$E,MATCH(I294,Clienti!$A:$A,0))</f>
        <v>15</v>
      </c>
      <c r="O294" s="19" t="n">
        <f aca="false">B294+N294</f>
        <v>46294</v>
      </c>
      <c r="P294" s="2" t="str">
        <f aca="false">IF(O294&gt;Ipoteze!$B$11,"Neincasat","Incasat")</f>
        <v>Incasat</v>
      </c>
    </row>
    <row r="295" customFormat="false" ht="15" hidden="false" customHeight="false" outlineLevel="0" collapsed="false">
      <c r="A295" s="2" t="s">
        <v>343</v>
      </c>
      <c r="B295" s="19" t="n">
        <v>46279</v>
      </c>
      <c r="C295" s="2" t="s">
        <v>400</v>
      </c>
      <c r="D295" s="2" t="s">
        <v>104</v>
      </c>
      <c r="E295" s="2" t="s">
        <v>105</v>
      </c>
      <c r="F295" s="2" t="n">
        <v>3</v>
      </c>
      <c r="G295" s="8" t="n">
        <v>219.5</v>
      </c>
      <c r="H295" s="8" t="n">
        <v>120</v>
      </c>
      <c r="I295" s="2" t="s">
        <v>92</v>
      </c>
      <c r="J295" s="8" t="n">
        <f aca="false">F295*G295</f>
        <v>658.5</v>
      </c>
      <c r="K295" s="8" t="n">
        <f aca="false">ROUND(J295*Ipoteze!$B$4,2)</f>
        <v>138.29</v>
      </c>
      <c r="L295" s="8" t="n">
        <f aca="false">J295+K295</f>
        <v>796.79</v>
      </c>
      <c r="M295" s="8" t="n">
        <f aca="false">F295*H295</f>
        <v>360</v>
      </c>
      <c r="N295" s="2" t="n">
        <f aca="false">INDEX(Clienti!$E:$E,MATCH(I295,Clienti!$A:$A,0))</f>
        <v>14</v>
      </c>
      <c r="O295" s="19" t="n">
        <f aca="false">B295+N295</f>
        <v>46293</v>
      </c>
      <c r="P295" s="2" t="str">
        <f aca="false">IF(O295&gt;Ipoteze!$B$11,"Neincasat","Incasat")</f>
        <v>Incasat</v>
      </c>
    </row>
    <row r="296" customFormat="false" ht="15" hidden="false" customHeight="false" outlineLevel="0" collapsed="false">
      <c r="A296" s="2" t="s">
        <v>343</v>
      </c>
      <c r="B296" s="19" t="n">
        <v>46280</v>
      </c>
      <c r="C296" s="2" t="s">
        <v>401</v>
      </c>
      <c r="D296" s="2" t="s">
        <v>134</v>
      </c>
      <c r="E296" s="2" t="s">
        <v>105</v>
      </c>
      <c r="F296" s="2" t="n">
        <v>1</v>
      </c>
      <c r="G296" s="8" t="n">
        <v>129.9</v>
      </c>
      <c r="H296" s="8" t="n">
        <v>70</v>
      </c>
      <c r="I296" s="2" t="s">
        <v>92</v>
      </c>
      <c r="J296" s="8" t="n">
        <f aca="false">F296*G296</f>
        <v>129.9</v>
      </c>
      <c r="K296" s="8" t="n">
        <f aca="false">ROUND(J296*Ipoteze!$B$4,2)</f>
        <v>27.28</v>
      </c>
      <c r="L296" s="8" t="n">
        <f aca="false">J296+K296</f>
        <v>157.18</v>
      </c>
      <c r="M296" s="8" t="n">
        <f aca="false">F296*H296</f>
        <v>70</v>
      </c>
      <c r="N296" s="2" t="n">
        <f aca="false">INDEX(Clienti!$E:$E,MATCH(I296,Clienti!$A:$A,0))</f>
        <v>14</v>
      </c>
      <c r="O296" s="19" t="n">
        <f aca="false">B296+N296</f>
        <v>46294</v>
      </c>
      <c r="P296" s="2" t="str">
        <f aca="false">IF(O296&gt;Ipoteze!$B$11,"Neincasat","Incasat")</f>
        <v>Incasat</v>
      </c>
    </row>
    <row r="297" customFormat="false" ht="15" hidden="false" customHeight="false" outlineLevel="0" collapsed="false">
      <c r="A297" s="2" t="s">
        <v>343</v>
      </c>
      <c r="B297" s="19" t="n">
        <v>46280</v>
      </c>
      <c r="C297" s="2" t="s">
        <v>402</v>
      </c>
      <c r="D297" s="2" t="s">
        <v>104</v>
      </c>
      <c r="E297" s="2" t="s">
        <v>105</v>
      </c>
      <c r="F297" s="2" t="n">
        <v>2</v>
      </c>
      <c r="G297" s="8" t="n">
        <v>219.5</v>
      </c>
      <c r="H297" s="8" t="n">
        <v>120</v>
      </c>
      <c r="I297" s="2" t="s">
        <v>92</v>
      </c>
      <c r="J297" s="8" t="n">
        <f aca="false">F297*G297</f>
        <v>439</v>
      </c>
      <c r="K297" s="8" t="n">
        <f aca="false">ROUND(J297*Ipoteze!$B$4,2)</f>
        <v>92.19</v>
      </c>
      <c r="L297" s="8" t="n">
        <f aca="false">J297+K297</f>
        <v>531.19</v>
      </c>
      <c r="M297" s="8" t="n">
        <f aca="false">F297*H297</f>
        <v>240</v>
      </c>
      <c r="N297" s="2" t="n">
        <f aca="false">INDEX(Clienti!$E:$E,MATCH(I297,Clienti!$A:$A,0))</f>
        <v>14</v>
      </c>
      <c r="O297" s="19" t="n">
        <f aca="false">B297+N297</f>
        <v>46294</v>
      </c>
      <c r="P297" s="2" t="str">
        <f aca="false">IF(O297&gt;Ipoteze!$B$11,"Neincasat","Incasat")</f>
        <v>Incasat</v>
      </c>
    </row>
    <row r="298" customFormat="false" ht="15" hidden="false" customHeight="false" outlineLevel="0" collapsed="false">
      <c r="A298" s="2" t="s">
        <v>343</v>
      </c>
      <c r="B298" s="19" t="n">
        <v>46280</v>
      </c>
      <c r="C298" s="2" t="s">
        <v>403</v>
      </c>
      <c r="D298" s="2" t="s">
        <v>108</v>
      </c>
      <c r="E298" s="2" t="s">
        <v>83</v>
      </c>
      <c r="F298" s="2" t="n">
        <v>1</v>
      </c>
      <c r="G298" s="8" t="n">
        <v>289</v>
      </c>
      <c r="H298" s="8" t="n">
        <v>160</v>
      </c>
      <c r="I298" s="2" t="s">
        <v>92</v>
      </c>
      <c r="J298" s="8" t="n">
        <f aca="false">F298*G298</f>
        <v>289</v>
      </c>
      <c r="K298" s="8" t="n">
        <f aca="false">ROUND(J298*Ipoteze!$B$4,2)</f>
        <v>60.69</v>
      </c>
      <c r="L298" s="8" t="n">
        <f aca="false">J298+K298</f>
        <v>349.69</v>
      </c>
      <c r="M298" s="8" t="n">
        <f aca="false">F298*H298</f>
        <v>160</v>
      </c>
      <c r="N298" s="2" t="n">
        <f aca="false">INDEX(Clienti!$E:$E,MATCH(I298,Clienti!$A:$A,0))</f>
        <v>14</v>
      </c>
      <c r="O298" s="19" t="n">
        <f aca="false">B298+N298</f>
        <v>46294</v>
      </c>
      <c r="P298" s="2" t="str">
        <f aca="false">IF(O298&gt;Ipoteze!$B$11,"Neincasat","Incasat")</f>
        <v>Incasat</v>
      </c>
    </row>
    <row r="299" customFormat="false" ht="15" hidden="false" customHeight="false" outlineLevel="0" collapsed="false">
      <c r="A299" s="2" t="s">
        <v>343</v>
      </c>
      <c r="B299" s="19" t="n">
        <v>46281</v>
      </c>
      <c r="C299" s="2" t="s">
        <v>404</v>
      </c>
      <c r="D299" s="2" t="s">
        <v>104</v>
      </c>
      <c r="E299" s="2" t="s">
        <v>105</v>
      </c>
      <c r="F299" s="2" t="n">
        <v>11</v>
      </c>
      <c r="G299" s="8" t="n">
        <v>219.5</v>
      </c>
      <c r="H299" s="8" t="n">
        <v>120</v>
      </c>
      <c r="I299" s="2" t="s">
        <v>125</v>
      </c>
      <c r="J299" s="8" t="n">
        <f aca="false">F299*G299</f>
        <v>2414.5</v>
      </c>
      <c r="K299" s="8" t="n">
        <f aca="false">ROUND(J299*Ipoteze!$B$4,2)</f>
        <v>507.05</v>
      </c>
      <c r="L299" s="8" t="n">
        <f aca="false">J299+K299</f>
        <v>2921.55</v>
      </c>
      <c r="M299" s="8" t="n">
        <f aca="false">F299*H299</f>
        <v>1320</v>
      </c>
      <c r="N299" s="2" t="n">
        <f aca="false">INDEX(Clienti!$E:$E,MATCH(I299,Clienti!$A:$A,0))</f>
        <v>15</v>
      </c>
      <c r="O299" s="19" t="n">
        <f aca="false">B299+N299</f>
        <v>46296</v>
      </c>
      <c r="P299" s="2" t="str">
        <f aca="false">IF(O299&gt;Ipoteze!$B$11,"Neincasat","Incasat")</f>
        <v>Neincasat</v>
      </c>
    </row>
    <row r="300" customFormat="false" ht="15" hidden="false" customHeight="false" outlineLevel="0" collapsed="false">
      <c r="A300" s="2" t="s">
        <v>343</v>
      </c>
      <c r="B300" s="19" t="n">
        <v>46281</v>
      </c>
      <c r="C300" s="2" t="s">
        <v>405</v>
      </c>
      <c r="D300" s="2" t="s">
        <v>101</v>
      </c>
      <c r="E300" s="2" t="s">
        <v>79</v>
      </c>
      <c r="F300" s="2" t="n">
        <v>24</v>
      </c>
      <c r="G300" s="8" t="n">
        <v>149</v>
      </c>
      <c r="H300" s="8" t="n">
        <v>75</v>
      </c>
      <c r="I300" s="2" t="s">
        <v>116</v>
      </c>
      <c r="J300" s="8" t="n">
        <f aca="false">F300*G300</f>
        <v>3576</v>
      </c>
      <c r="K300" s="8" t="n">
        <f aca="false">ROUND(J300*Ipoteze!$B$4,2)</f>
        <v>750.96</v>
      </c>
      <c r="L300" s="8" t="n">
        <f aca="false">J300+K300</f>
        <v>4326.96</v>
      </c>
      <c r="M300" s="8" t="n">
        <f aca="false">F300*H300</f>
        <v>1800</v>
      </c>
      <c r="N300" s="2" t="n">
        <f aca="false">INDEX(Clienti!$E:$E,MATCH(I300,Clienti!$A:$A,0))</f>
        <v>30</v>
      </c>
      <c r="O300" s="19" t="n">
        <f aca="false">B300+N300</f>
        <v>46311</v>
      </c>
      <c r="P300" s="2" t="str">
        <f aca="false">IF(O300&gt;Ipoteze!$B$11,"Neincasat","Incasat")</f>
        <v>Neincasat</v>
      </c>
    </row>
    <row r="301" customFormat="false" ht="15" hidden="false" customHeight="false" outlineLevel="0" collapsed="false">
      <c r="A301" s="2" t="s">
        <v>343</v>
      </c>
      <c r="B301" s="19" t="n">
        <v>46281</v>
      </c>
      <c r="C301" s="2" t="s">
        <v>406</v>
      </c>
      <c r="D301" s="2" t="s">
        <v>130</v>
      </c>
      <c r="E301" s="2" t="s">
        <v>83</v>
      </c>
      <c r="F301" s="2" t="n">
        <v>25</v>
      </c>
      <c r="G301" s="8" t="n">
        <v>349</v>
      </c>
      <c r="H301" s="8" t="n">
        <v>190</v>
      </c>
      <c r="I301" s="2" t="s">
        <v>95</v>
      </c>
      <c r="J301" s="8" t="n">
        <f aca="false">F301*G301</f>
        <v>8725</v>
      </c>
      <c r="K301" s="8" t="n">
        <f aca="false">ROUND(J301*Ipoteze!$B$4,2)</f>
        <v>1832.25</v>
      </c>
      <c r="L301" s="8" t="n">
        <f aca="false">J301+K301</f>
        <v>10557.25</v>
      </c>
      <c r="M301" s="8" t="n">
        <f aca="false">F301*H301</f>
        <v>4750</v>
      </c>
      <c r="N301" s="2" t="n">
        <f aca="false">INDEX(Clienti!$E:$E,MATCH(I301,Clienti!$A:$A,0))</f>
        <v>30</v>
      </c>
      <c r="O301" s="19" t="n">
        <f aca="false">B301+N301</f>
        <v>46311</v>
      </c>
      <c r="P301" s="2" t="str">
        <f aca="false">IF(O301&gt;Ipoteze!$B$11,"Neincasat","Incasat")</f>
        <v>Neincasat</v>
      </c>
    </row>
    <row r="302" customFormat="false" ht="15" hidden="false" customHeight="false" outlineLevel="0" collapsed="false">
      <c r="A302" s="2" t="s">
        <v>343</v>
      </c>
      <c r="B302" s="19" t="n">
        <v>46282</v>
      </c>
      <c r="C302" s="2" t="s">
        <v>407</v>
      </c>
      <c r="D302" s="2" t="s">
        <v>130</v>
      </c>
      <c r="E302" s="2" t="s">
        <v>83</v>
      </c>
      <c r="F302" s="2" t="n">
        <v>3</v>
      </c>
      <c r="G302" s="8" t="n">
        <v>349</v>
      </c>
      <c r="H302" s="8" t="n">
        <v>190</v>
      </c>
      <c r="I302" s="2" t="s">
        <v>92</v>
      </c>
      <c r="J302" s="8" t="n">
        <f aca="false">F302*G302</f>
        <v>1047</v>
      </c>
      <c r="K302" s="8" t="n">
        <f aca="false">ROUND(J302*Ipoteze!$B$4,2)</f>
        <v>219.87</v>
      </c>
      <c r="L302" s="8" t="n">
        <f aca="false">J302+K302</f>
        <v>1266.87</v>
      </c>
      <c r="M302" s="8" t="n">
        <f aca="false">F302*H302</f>
        <v>570</v>
      </c>
      <c r="N302" s="2" t="n">
        <f aca="false">INDEX(Clienti!$E:$E,MATCH(I302,Clienti!$A:$A,0))</f>
        <v>14</v>
      </c>
      <c r="O302" s="19" t="n">
        <f aca="false">B302+N302</f>
        <v>46296</v>
      </c>
      <c r="P302" s="2" t="str">
        <f aca="false">IF(O302&gt;Ipoteze!$B$11,"Neincasat","Incasat")</f>
        <v>Neincasat</v>
      </c>
    </row>
    <row r="303" customFormat="false" ht="15" hidden="false" customHeight="false" outlineLevel="0" collapsed="false">
      <c r="A303" s="2" t="s">
        <v>343</v>
      </c>
      <c r="B303" s="19" t="n">
        <v>46282</v>
      </c>
      <c r="C303" s="2" t="s">
        <v>408</v>
      </c>
      <c r="D303" s="2" t="s">
        <v>108</v>
      </c>
      <c r="E303" s="2" t="s">
        <v>83</v>
      </c>
      <c r="F303" s="2" t="n">
        <v>18</v>
      </c>
      <c r="G303" s="8" t="n">
        <v>289</v>
      </c>
      <c r="H303" s="8" t="n">
        <v>160</v>
      </c>
      <c r="I303" s="2" t="s">
        <v>80</v>
      </c>
      <c r="J303" s="8" t="n">
        <f aca="false">F303*G303</f>
        <v>5202</v>
      </c>
      <c r="K303" s="8" t="n">
        <f aca="false">ROUND(J303*Ipoteze!$B$4,2)</f>
        <v>1092.42</v>
      </c>
      <c r="L303" s="8" t="n">
        <f aca="false">J303+K303</f>
        <v>6294.42</v>
      </c>
      <c r="M303" s="8" t="n">
        <f aca="false">F303*H303</f>
        <v>2880</v>
      </c>
      <c r="N303" s="2" t="n">
        <f aca="false">INDEX(Clienti!$E:$E,MATCH(I303,Clienti!$A:$A,0))</f>
        <v>15</v>
      </c>
      <c r="O303" s="19" t="n">
        <f aca="false">B303+N303</f>
        <v>46297</v>
      </c>
      <c r="P303" s="2" t="str">
        <f aca="false">IF(O303&gt;Ipoteze!$B$11,"Neincasat","Incasat")</f>
        <v>Neincasat</v>
      </c>
    </row>
    <row r="304" customFormat="false" ht="15" hidden="false" customHeight="false" outlineLevel="0" collapsed="false">
      <c r="A304" s="2" t="s">
        <v>343</v>
      </c>
      <c r="B304" s="19" t="n">
        <v>46282</v>
      </c>
      <c r="C304" s="2" t="s">
        <v>409</v>
      </c>
      <c r="D304" s="2" t="s">
        <v>108</v>
      </c>
      <c r="E304" s="2" t="s">
        <v>83</v>
      </c>
      <c r="F304" s="2" t="n">
        <v>3</v>
      </c>
      <c r="G304" s="8" t="n">
        <v>289</v>
      </c>
      <c r="H304" s="8" t="n">
        <v>160</v>
      </c>
      <c r="I304" s="2" t="s">
        <v>84</v>
      </c>
      <c r="J304" s="8" t="n">
        <f aca="false">F304*G304</f>
        <v>867</v>
      </c>
      <c r="K304" s="8" t="n">
        <f aca="false">ROUND(J304*Ipoteze!$B$4,2)</f>
        <v>182.07</v>
      </c>
      <c r="L304" s="8" t="n">
        <f aca="false">J304+K304</f>
        <v>1049.07</v>
      </c>
      <c r="M304" s="8" t="n">
        <f aca="false">F304*H304</f>
        <v>480</v>
      </c>
      <c r="N304" s="2" t="n">
        <f aca="false">INDEX(Clienti!$E:$E,MATCH(I304,Clienti!$A:$A,0))</f>
        <v>0</v>
      </c>
      <c r="O304" s="19" t="n">
        <f aca="false">B304+N304</f>
        <v>46282</v>
      </c>
      <c r="P304" s="2" t="str">
        <f aca="false">IF(O304&gt;Ipoteze!$B$11,"Neincasat","Incasat")</f>
        <v>Incasat</v>
      </c>
    </row>
    <row r="305" customFormat="false" ht="15" hidden="false" customHeight="false" outlineLevel="0" collapsed="false">
      <c r="A305" s="2" t="s">
        <v>343</v>
      </c>
      <c r="B305" s="19" t="n">
        <v>46283</v>
      </c>
      <c r="C305" s="2" t="s">
        <v>410</v>
      </c>
      <c r="D305" s="2" t="s">
        <v>82</v>
      </c>
      <c r="E305" s="2" t="s">
        <v>83</v>
      </c>
      <c r="F305" s="2" t="n">
        <v>10</v>
      </c>
      <c r="G305" s="8" t="n">
        <v>79.99</v>
      </c>
      <c r="H305" s="8" t="n">
        <v>45</v>
      </c>
      <c r="I305" s="2" t="s">
        <v>99</v>
      </c>
      <c r="J305" s="8" t="n">
        <f aca="false">F305*G305</f>
        <v>799.9</v>
      </c>
      <c r="K305" s="8" t="n">
        <f aca="false">ROUND(J305*Ipoteze!$B$4,2)</f>
        <v>167.98</v>
      </c>
      <c r="L305" s="8" t="n">
        <f aca="false">J305+K305</f>
        <v>967.88</v>
      </c>
      <c r="M305" s="8" t="n">
        <f aca="false">F305*H305</f>
        <v>450</v>
      </c>
      <c r="N305" s="2" t="n">
        <f aca="false">INDEX(Clienti!$E:$E,MATCH(I305,Clienti!$A:$A,0))</f>
        <v>30</v>
      </c>
      <c r="O305" s="19" t="n">
        <f aca="false">B305+N305</f>
        <v>46313</v>
      </c>
      <c r="P305" s="2" t="str">
        <f aca="false">IF(O305&gt;Ipoteze!$B$11,"Neincasat","Incasat")</f>
        <v>Neincasat</v>
      </c>
    </row>
    <row r="306" customFormat="false" ht="15" hidden="false" customHeight="false" outlineLevel="0" collapsed="false">
      <c r="A306" s="2" t="s">
        <v>343</v>
      </c>
      <c r="B306" s="19" t="n">
        <v>46283</v>
      </c>
      <c r="C306" s="2" t="s">
        <v>411</v>
      </c>
      <c r="D306" s="2" t="s">
        <v>89</v>
      </c>
      <c r="E306" s="2" t="s">
        <v>87</v>
      </c>
      <c r="F306" s="2" t="n">
        <v>1</v>
      </c>
      <c r="G306" s="8" t="n">
        <v>29.99</v>
      </c>
      <c r="H306" s="8" t="n">
        <v>9</v>
      </c>
      <c r="I306" s="2" t="s">
        <v>84</v>
      </c>
      <c r="J306" s="8" t="n">
        <f aca="false">F306*G306</f>
        <v>29.99</v>
      </c>
      <c r="K306" s="8" t="n">
        <f aca="false">ROUND(J306*Ipoteze!$B$4,2)</f>
        <v>6.3</v>
      </c>
      <c r="L306" s="8" t="n">
        <f aca="false">J306+K306</f>
        <v>36.29</v>
      </c>
      <c r="M306" s="8" t="n">
        <f aca="false">F306*H306</f>
        <v>9</v>
      </c>
      <c r="N306" s="2" t="n">
        <f aca="false">INDEX(Clienti!$E:$E,MATCH(I306,Clienti!$A:$A,0))</f>
        <v>0</v>
      </c>
      <c r="O306" s="19" t="n">
        <f aca="false">B306+N306</f>
        <v>46283</v>
      </c>
      <c r="P306" s="2" t="str">
        <f aca="false">IF(O306&gt;Ipoteze!$B$11,"Neincasat","Incasat")</f>
        <v>Incasat</v>
      </c>
    </row>
    <row r="307" customFormat="false" ht="15" hidden="false" customHeight="false" outlineLevel="0" collapsed="false">
      <c r="A307" s="2" t="s">
        <v>343</v>
      </c>
      <c r="B307" s="19" t="n">
        <v>46283</v>
      </c>
      <c r="C307" s="2" t="s">
        <v>412</v>
      </c>
      <c r="D307" s="2" t="s">
        <v>97</v>
      </c>
      <c r="E307" s="2" t="s">
        <v>98</v>
      </c>
      <c r="F307" s="2" t="n">
        <v>1</v>
      </c>
      <c r="G307" s="8" t="n">
        <v>449</v>
      </c>
      <c r="H307" s="8" t="n">
        <v>290</v>
      </c>
      <c r="I307" s="2" t="s">
        <v>110</v>
      </c>
      <c r="J307" s="8" t="n">
        <f aca="false">F307*G307</f>
        <v>449</v>
      </c>
      <c r="K307" s="8" t="n">
        <f aca="false">ROUND(J307*Ipoteze!$B$4,2)</f>
        <v>94.29</v>
      </c>
      <c r="L307" s="8" t="n">
        <f aca="false">J307+K307</f>
        <v>543.29</v>
      </c>
      <c r="M307" s="8" t="n">
        <f aca="false">F307*H307</f>
        <v>290</v>
      </c>
      <c r="N307" s="2" t="n">
        <f aca="false">INDEX(Clienti!$E:$E,MATCH(I307,Clienti!$A:$A,0))</f>
        <v>0</v>
      </c>
      <c r="O307" s="19" t="n">
        <f aca="false">B307+N307</f>
        <v>46283</v>
      </c>
      <c r="P307" s="2" t="str">
        <f aca="false">IF(O307&gt;Ipoteze!$B$11,"Neincasat","Incasat")</f>
        <v>Incasat</v>
      </c>
    </row>
    <row r="308" customFormat="false" ht="15" hidden="false" customHeight="false" outlineLevel="0" collapsed="false">
      <c r="A308" s="2" t="s">
        <v>343</v>
      </c>
      <c r="B308" s="19" t="n">
        <v>46283</v>
      </c>
      <c r="C308" s="2" t="s">
        <v>413</v>
      </c>
      <c r="D308" s="2" t="s">
        <v>97</v>
      </c>
      <c r="E308" s="2" t="s">
        <v>98</v>
      </c>
      <c r="F308" s="2" t="n">
        <v>3</v>
      </c>
      <c r="G308" s="8" t="n">
        <v>449</v>
      </c>
      <c r="H308" s="8" t="n">
        <v>290</v>
      </c>
      <c r="I308" s="2" t="s">
        <v>92</v>
      </c>
      <c r="J308" s="8" t="n">
        <f aca="false">F308*G308</f>
        <v>1347</v>
      </c>
      <c r="K308" s="8" t="n">
        <f aca="false">ROUND(J308*Ipoteze!$B$4,2)</f>
        <v>282.87</v>
      </c>
      <c r="L308" s="8" t="n">
        <f aca="false">J308+K308</f>
        <v>1629.87</v>
      </c>
      <c r="M308" s="8" t="n">
        <f aca="false">F308*H308</f>
        <v>870</v>
      </c>
      <c r="N308" s="2" t="n">
        <f aca="false">INDEX(Clienti!$E:$E,MATCH(I308,Clienti!$A:$A,0))</f>
        <v>14</v>
      </c>
      <c r="O308" s="19" t="n">
        <f aca="false">B308+N308</f>
        <v>46297</v>
      </c>
      <c r="P308" s="2" t="str">
        <f aca="false">IF(O308&gt;Ipoteze!$B$11,"Neincasat","Incasat")</f>
        <v>Neincasat</v>
      </c>
    </row>
    <row r="309" customFormat="false" ht="15" hidden="false" customHeight="false" outlineLevel="0" collapsed="false">
      <c r="A309" s="2" t="s">
        <v>343</v>
      </c>
      <c r="B309" s="19" t="n">
        <v>46283</v>
      </c>
      <c r="C309" s="2" t="s">
        <v>414</v>
      </c>
      <c r="D309" s="2" t="s">
        <v>101</v>
      </c>
      <c r="E309" s="2" t="s">
        <v>79</v>
      </c>
      <c r="F309" s="2" t="n">
        <v>9</v>
      </c>
      <c r="G309" s="8" t="n">
        <v>149</v>
      </c>
      <c r="H309" s="8" t="n">
        <v>75</v>
      </c>
      <c r="I309" s="2" t="s">
        <v>116</v>
      </c>
      <c r="J309" s="8" t="n">
        <f aca="false">F309*G309</f>
        <v>1341</v>
      </c>
      <c r="K309" s="8" t="n">
        <f aca="false">ROUND(J309*Ipoteze!$B$4,2)</f>
        <v>281.61</v>
      </c>
      <c r="L309" s="8" t="n">
        <f aca="false">J309+K309</f>
        <v>1622.61</v>
      </c>
      <c r="M309" s="8" t="n">
        <f aca="false">F309*H309</f>
        <v>675</v>
      </c>
      <c r="N309" s="2" t="n">
        <f aca="false">INDEX(Clienti!$E:$E,MATCH(I309,Clienti!$A:$A,0))</f>
        <v>30</v>
      </c>
      <c r="O309" s="19" t="n">
        <f aca="false">B309+N309</f>
        <v>46313</v>
      </c>
      <c r="P309" s="2" t="str">
        <f aca="false">IF(O309&gt;Ipoteze!$B$11,"Neincasat","Incasat")</f>
        <v>Neincasat</v>
      </c>
    </row>
    <row r="310" customFormat="false" ht="15" hidden="false" customHeight="false" outlineLevel="0" collapsed="false">
      <c r="A310" s="2" t="s">
        <v>343</v>
      </c>
      <c r="B310" s="19" t="n">
        <v>46283</v>
      </c>
      <c r="C310" s="2" t="s">
        <v>415</v>
      </c>
      <c r="D310" s="2" t="s">
        <v>134</v>
      </c>
      <c r="E310" s="2" t="s">
        <v>105</v>
      </c>
      <c r="F310" s="2" t="n">
        <v>21</v>
      </c>
      <c r="G310" s="8" t="n">
        <v>129.9</v>
      </c>
      <c r="H310" s="8" t="n">
        <v>70</v>
      </c>
      <c r="I310" s="2" t="s">
        <v>99</v>
      </c>
      <c r="J310" s="8" t="n">
        <f aca="false">F310*G310</f>
        <v>2727.9</v>
      </c>
      <c r="K310" s="8" t="n">
        <f aca="false">ROUND(J310*Ipoteze!$B$4,2)</f>
        <v>572.86</v>
      </c>
      <c r="L310" s="8" t="n">
        <f aca="false">J310+K310</f>
        <v>3300.76</v>
      </c>
      <c r="M310" s="8" t="n">
        <f aca="false">F310*H310</f>
        <v>1470</v>
      </c>
      <c r="N310" s="2" t="n">
        <f aca="false">INDEX(Clienti!$E:$E,MATCH(I310,Clienti!$A:$A,0))</f>
        <v>30</v>
      </c>
      <c r="O310" s="19" t="n">
        <f aca="false">B310+N310</f>
        <v>46313</v>
      </c>
      <c r="P310" s="2" t="str">
        <f aca="false">IF(O310&gt;Ipoteze!$B$11,"Neincasat","Incasat")</f>
        <v>Neincasat</v>
      </c>
    </row>
    <row r="311" customFormat="false" ht="15" hidden="false" customHeight="false" outlineLevel="0" collapsed="false">
      <c r="A311" s="2" t="s">
        <v>343</v>
      </c>
      <c r="B311" s="19" t="n">
        <v>46284</v>
      </c>
      <c r="C311" s="2" t="s">
        <v>416</v>
      </c>
      <c r="D311" s="2" t="s">
        <v>113</v>
      </c>
      <c r="E311" s="2" t="s">
        <v>114</v>
      </c>
      <c r="F311" s="2" t="n">
        <v>1</v>
      </c>
      <c r="G311" s="8" t="n">
        <v>1199</v>
      </c>
      <c r="H311" s="8" t="n">
        <v>780</v>
      </c>
      <c r="I311" s="2" t="s">
        <v>84</v>
      </c>
      <c r="J311" s="8" t="n">
        <f aca="false">F311*G311</f>
        <v>1199</v>
      </c>
      <c r="K311" s="8" t="n">
        <f aca="false">ROUND(J311*Ipoteze!$B$4,2)</f>
        <v>251.79</v>
      </c>
      <c r="L311" s="8" t="n">
        <f aca="false">J311+K311</f>
        <v>1450.79</v>
      </c>
      <c r="M311" s="8" t="n">
        <f aca="false">F311*H311</f>
        <v>780</v>
      </c>
      <c r="N311" s="2" t="n">
        <f aca="false">INDEX(Clienti!$E:$E,MATCH(I311,Clienti!$A:$A,0))</f>
        <v>0</v>
      </c>
      <c r="O311" s="19" t="n">
        <f aca="false">B311+N311</f>
        <v>46284</v>
      </c>
      <c r="P311" s="2" t="str">
        <f aca="false">IF(O311&gt;Ipoteze!$B$11,"Neincasat","Incasat")</f>
        <v>Incasat</v>
      </c>
    </row>
    <row r="312" customFormat="false" ht="15" hidden="false" customHeight="false" outlineLevel="0" collapsed="false">
      <c r="A312" s="2" t="s">
        <v>343</v>
      </c>
      <c r="B312" s="19" t="n">
        <v>46284</v>
      </c>
      <c r="C312" s="2" t="s">
        <v>417</v>
      </c>
      <c r="D312" s="2" t="s">
        <v>134</v>
      </c>
      <c r="E312" s="2" t="s">
        <v>105</v>
      </c>
      <c r="F312" s="2" t="n">
        <v>21</v>
      </c>
      <c r="G312" s="8" t="n">
        <v>129.9</v>
      </c>
      <c r="H312" s="8" t="n">
        <v>70</v>
      </c>
      <c r="I312" s="2" t="s">
        <v>95</v>
      </c>
      <c r="J312" s="8" t="n">
        <f aca="false">F312*G312</f>
        <v>2727.9</v>
      </c>
      <c r="K312" s="8" t="n">
        <f aca="false">ROUND(J312*Ipoteze!$B$4,2)</f>
        <v>572.86</v>
      </c>
      <c r="L312" s="8" t="n">
        <f aca="false">J312+K312</f>
        <v>3300.76</v>
      </c>
      <c r="M312" s="8" t="n">
        <f aca="false">F312*H312</f>
        <v>1470</v>
      </c>
      <c r="N312" s="2" t="n">
        <f aca="false">INDEX(Clienti!$E:$E,MATCH(I312,Clienti!$A:$A,0))</f>
        <v>30</v>
      </c>
      <c r="O312" s="19" t="n">
        <f aca="false">B312+N312</f>
        <v>46314</v>
      </c>
      <c r="P312" s="2" t="str">
        <f aca="false">IF(O312&gt;Ipoteze!$B$11,"Neincasat","Incasat")</f>
        <v>Neincasat</v>
      </c>
    </row>
    <row r="313" customFormat="false" ht="15" hidden="false" customHeight="false" outlineLevel="0" collapsed="false">
      <c r="A313" s="2" t="s">
        <v>343</v>
      </c>
      <c r="B313" s="19" t="n">
        <v>46284</v>
      </c>
      <c r="C313" s="2" t="s">
        <v>418</v>
      </c>
      <c r="D313" s="2" t="s">
        <v>104</v>
      </c>
      <c r="E313" s="2" t="s">
        <v>105</v>
      </c>
      <c r="F313" s="2" t="n">
        <v>1</v>
      </c>
      <c r="G313" s="8" t="n">
        <v>219.5</v>
      </c>
      <c r="H313" s="8" t="n">
        <v>120</v>
      </c>
      <c r="I313" s="2" t="s">
        <v>92</v>
      </c>
      <c r="J313" s="8" t="n">
        <f aca="false">F313*G313</f>
        <v>219.5</v>
      </c>
      <c r="K313" s="8" t="n">
        <f aca="false">ROUND(J313*Ipoteze!$B$4,2)</f>
        <v>46.1</v>
      </c>
      <c r="L313" s="8" t="n">
        <f aca="false">J313+K313</f>
        <v>265.6</v>
      </c>
      <c r="M313" s="8" t="n">
        <f aca="false">F313*H313</f>
        <v>120</v>
      </c>
      <c r="N313" s="2" t="n">
        <f aca="false">INDEX(Clienti!$E:$E,MATCH(I313,Clienti!$A:$A,0))</f>
        <v>14</v>
      </c>
      <c r="O313" s="19" t="n">
        <f aca="false">B313+N313</f>
        <v>46298</v>
      </c>
      <c r="P313" s="2" t="str">
        <f aca="false">IF(O313&gt;Ipoteze!$B$11,"Neincasat","Incasat")</f>
        <v>Neincasat</v>
      </c>
    </row>
    <row r="314" customFormat="false" ht="15" hidden="false" customHeight="false" outlineLevel="0" collapsed="false">
      <c r="A314" s="2" t="s">
        <v>343</v>
      </c>
      <c r="B314" s="19" t="n">
        <v>46284</v>
      </c>
      <c r="C314" s="2" t="s">
        <v>419</v>
      </c>
      <c r="D314" s="2" t="s">
        <v>94</v>
      </c>
      <c r="E314" s="2" t="s">
        <v>79</v>
      </c>
      <c r="F314" s="2" t="n">
        <v>6</v>
      </c>
      <c r="G314" s="8" t="n">
        <v>49.9</v>
      </c>
      <c r="H314" s="8" t="n">
        <v>19</v>
      </c>
      <c r="I314" s="2" t="s">
        <v>80</v>
      </c>
      <c r="J314" s="8" t="n">
        <f aca="false">F314*G314</f>
        <v>299.4</v>
      </c>
      <c r="K314" s="8" t="n">
        <f aca="false">ROUND(J314*Ipoteze!$B$4,2)</f>
        <v>62.87</v>
      </c>
      <c r="L314" s="8" t="n">
        <f aca="false">J314+K314</f>
        <v>362.27</v>
      </c>
      <c r="M314" s="8" t="n">
        <f aca="false">F314*H314</f>
        <v>114</v>
      </c>
      <c r="N314" s="2" t="n">
        <f aca="false">INDEX(Clienti!$E:$E,MATCH(I314,Clienti!$A:$A,0))</f>
        <v>15</v>
      </c>
      <c r="O314" s="19" t="n">
        <f aca="false">B314+N314</f>
        <v>46299</v>
      </c>
      <c r="P314" s="2" t="str">
        <f aca="false">IF(O314&gt;Ipoteze!$B$11,"Neincasat","Incasat")</f>
        <v>Neincasat</v>
      </c>
    </row>
    <row r="315" customFormat="false" ht="15" hidden="false" customHeight="false" outlineLevel="0" collapsed="false">
      <c r="A315" s="2" t="s">
        <v>343</v>
      </c>
      <c r="B315" s="19" t="n">
        <v>46286</v>
      </c>
      <c r="C315" s="2" t="s">
        <v>420</v>
      </c>
      <c r="D315" s="2" t="s">
        <v>82</v>
      </c>
      <c r="E315" s="2" t="s">
        <v>83</v>
      </c>
      <c r="F315" s="2" t="n">
        <v>2</v>
      </c>
      <c r="G315" s="8" t="n">
        <v>79.99</v>
      </c>
      <c r="H315" s="8" t="n">
        <v>45</v>
      </c>
      <c r="I315" s="2" t="s">
        <v>110</v>
      </c>
      <c r="J315" s="8" t="n">
        <f aca="false">F315*G315</f>
        <v>159.98</v>
      </c>
      <c r="K315" s="8" t="n">
        <f aca="false">ROUND(J315*Ipoteze!$B$4,2)</f>
        <v>33.6</v>
      </c>
      <c r="L315" s="8" t="n">
        <f aca="false">J315+K315</f>
        <v>193.58</v>
      </c>
      <c r="M315" s="8" t="n">
        <f aca="false">F315*H315</f>
        <v>90</v>
      </c>
      <c r="N315" s="2" t="n">
        <f aca="false">INDEX(Clienti!$E:$E,MATCH(I315,Clienti!$A:$A,0))</f>
        <v>0</v>
      </c>
      <c r="O315" s="19" t="n">
        <f aca="false">B315+N315</f>
        <v>46286</v>
      </c>
      <c r="P315" s="2" t="str">
        <f aca="false">IF(O315&gt;Ipoteze!$B$11,"Neincasat","Incasat")</f>
        <v>Incasat</v>
      </c>
    </row>
    <row r="316" customFormat="false" ht="15" hidden="false" customHeight="false" outlineLevel="0" collapsed="false">
      <c r="A316" s="2" t="s">
        <v>343</v>
      </c>
      <c r="B316" s="19" t="n">
        <v>46286</v>
      </c>
      <c r="C316" s="2" t="s">
        <v>421</v>
      </c>
      <c r="D316" s="2" t="s">
        <v>130</v>
      </c>
      <c r="E316" s="2" t="s">
        <v>83</v>
      </c>
      <c r="F316" s="2" t="n">
        <v>1</v>
      </c>
      <c r="G316" s="8" t="n">
        <v>349</v>
      </c>
      <c r="H316" s="8" t="n">
        <v>190</v>
      </c>
      <c r="I316" s="2" t="s">
        <v>110</v>
      </c>
      <c r="J316" s="8" t="n">
        <f aca="false">F316*G316</f>
        <v>349</v>
      </c>
      <c r="K316" s="8" t="n">
        <f aca="false">ROUND(J316*Ipoteze!$B$4,2)</f>
        <v>73.29</v>
      </c>
      <c r="L316" s="8" t="n">
        <f aca="false">J316+K316</f>
        <v>422.29</v>
      </c>
      <c r="M316" s="8" t="n">
        <f aca="false">F316*H316</f>
        <v>190</v>
      </c>
      <c r="N316" s="2" t="n">
        <f aca="false">INDEX(Clienti!$E:$E,MATCH(I316,Clienti!$A:$A,0))</f>
        <v>0</v>
      </c>
      <c r="O316" s="19" t="n">
        <f aca="false">B316+N316</f>
        <v>46286</v>
      </c>
      <c r="P316" s="2" t="str">
        <f aca="false">IF(O316&gt;Ipoteze!$B$11,"Neincasat","Incasat")</f>
        <v>Incasat</v>
      </c>
    </row>
    <row r="317" customFormat="false" ht="15" hidden="false" customHeight="false" outlineLevel="0" collapsed="false">
      <c r="A317" s="2" t="s">
        <v>343</v>
      </c>
      <c r="B317" s="19" t="n">
        <v>46286</v>
      </c>
      <c r="C317" s="2" t="s">
        <v>422</v>
      </c>
      <c r="D317" s="2" t="s">
        <v>94</v>
      </c>
      <c r="E317" s="2" t="s">
        <v>79</v>
      </c>
      <c r="F317" s="2" t="n">
        <v>5</v>
      </c>
      <c r="G317" s="8" t="n">
        <v>49.9</v>
      </c>
      <c r="H317" s="8" t="n">
        <v>19</v>
      </c>
      <c r="I317" s="2" t="s">
        <v>116</v>
      </c>
      <c r="J317" s="8" t="n">
        <f aca="false">F317*G317</f>
        <v>249.5</v>
      </c>
      <c r="K317" s="8" t="n">
        <f aca="false">ROUND(J317*Ipoteze!$B$4,2)</f>
        <v>52.4</v>
      </c>
      <c r="L317" s="8" t="n">
        <f aca="false">J317+K317</f>
        <v>301.9</v>
      </c>
      <c r="M317" s="8" t="n">
        <f aca="false">F317*H317</f>
        <v>95</v>
      </c>
      <c r="N317" s="2" t="n">
        <f aca="false">INDEX(Clienti!$E:$E,MATCH(I317,Clienti!$A:$A,0))</f>
        <v>30</v>
      </c>
      <c r="O317" s="19" t="n">
        <f aca="false">B317+N317</f>
        <v>46316</v>
      </c>
      <c r="P317" s="2" t="str">
        <f aca="false">IF(O317&gt;Ipoteze!$B$11,"Neincasat","Incasat")</f>
        <v>Neincasat</v>
      </c>
    </row>
    <row r="318" customFormat="false" ht="15" hidden="false" customHeight="false" outlineLevel="0" collapsed="false">
      <c r="A318" s="2" t="s">
        <v>343</v>
      </c>
      <c r="B318" s="19" t="n">
        <v>46286</v>
      </c>
      <c r="C318" s="2" t="s">
        <v>423</v>
      </c>
      <c r="D318" s="2" t="s">
        <v>130</v>
      </c>
      <c r="E318" s="2" t="s">
        <v>83</v>
      </c>
      <c r="F318" s="2" t="n">
        <v>24</v>
      </c>
      <c r="G318" s="8" t="n">
        <v>349</v>
      </c>
      <c r="H318" s="8" t="n">
        <v>190</v>
      </c>
      <c r="I318" s="2" t="s">
        <v>80</v>
      </c>
      <c r="J318" s="8" t="n">
        <f aca="false">F318*G318</f>
        <v>8376</v>
      </c>
      <c r="K318" s="8" t="n">
        <f aca="false">ROUND(J318*Ipoteze!$B$4,2)</f>
        <v>1758.96</v>
      </c>
      <c r="L318" s="8" t="n">
        <f aca="false">J318+K318</f>
        <v>10134.96</v>
      </c>
      <c r="M318" s="8" t="n">
        <f aca="false">F318*H318</f>
        <v>4560</v>
      </c>
      <c r="N318" s="2" t="n">
        <f aca="false">INDEX(Clienti!$E:$E,MATCH(I318,Clienti!$A:$A,0))</f>
        <v>15</v>
      </c>
      <c r="O318" s="19" t="n">
        <f aca="false">B318+N318</f>
        <v>46301</v>
      </c>
      <c r="P318" s="2" t="str">
        <f aca="false">IF(O318&gt;Ipoteze!$B$11,"Neincasat","Incasat")</f>
        <v>Neincasat</v>
      </c>
    </row>
    <row r="319" customFormat="false" ht="15" hidden="false" customHeight="false" outlineLevel="0" collapsed="false">
      <c r="A319" s="2" t="s">
        <v>343</v>
      </c>
      <c r="B319" s="19" t="n">
        <v>46286</v>
      </c>
      <c r="C319" s="2" t="s">
        <v>424</v>
      </c>
      <c r="D319" s="2" t="s">
        <v>134</v>
      </c>
      <c r="E319" s="2" t="s">
        <v>105</v>
      </c>
      <c r="F319" s="2" t="n">
        <v>1</v>
      </c>
      <c r="G319" s="8" t="n">
        <v>129.9</v>
      </c>
      <c r="H319" s="8" t="n">
        <v>70</v>
      </c>
      <c r="I319" s="2" t="s">
        <v>84</v>
      </c>
      <c r="J319" s="8" t="n">
        <f aca="false">F319*G319</f>
        <v>129.9</v>
      </c>
      <c r="K319" s="8" t="n">
        <f aca="false">ROUND(J319*Ipoteze!$B$4,2)</f>
        <v>27.28</v>
      </c>
      <c r="L319" s="8" t="n">
        <f aca="false">J319+K319</f>
        <v>157.18</v>
      </c>
      <c r="M319" s="8" t="n">
        <f aca="false">F319*H319</f>
        <v>70</v>
      </c>
      <c r="N319" s="2" t="n">
        <f aca="false">INDEX(Clienti!$E:$E,MATCH(I319,Clienti!$A:$A,0))</f>
        <v>0</v>
      </c>
      <c r="O319" s="19" t="n">
        <f aca="false">B319+N319</f>
        <v>46286</v>
      </c>
      <c r="P319" s="2" t="str">
        <f aca="false">IF(O319&gt;Ipoteze!$B$11,"Neincasat","Incasat")</f>
        <v>Incasat</v>
      </c>
    </row>
    <row r="320" customFormat="false" ht="15" hidden="false" customHeight="false" outlineLevel="0" collapsed="false">
      <c r="A320" s="2" t="s">
        <v>343</v>
      </c>
      <c r="B320" s="19" t="n">
        <v>46287</v>
      </c>
      <c r="C320" s="2" t="s">
        <v>425</v>
      </c>
      <c r="D320" s="2" t="s">
        <v>82</v>
      </c>
      <c r="E320" s="2" t="s">
        <v>83</v>
      </c>
      <c r="F320" s="2" t="n">
        <v>2</v>
      </c>
      <c r="G320" s="8" t="n">
        <v>79.99</v>
      </c>
      <c r="H320" s="8" t="n">
        <v>45</v>
      </c>
      <c r="I320" s="2" t="s">
        <v>84</v>
      </c>
      <c r="J320" s="8" t="n">
        <f aca="false">F320*G320</f>
        <v>159.98</v>
      </c>
      <c r="K320" s="8" t="n">
        <f aca="false">ROUND(J320*Ipoteze!$B$4,2)</f>
        <v>33.6</v>
      </c>
      <c r="L320" s="8" t="n">
        <f aca="false">J320+K320</f>
        <v>193.58</v>
      </c>
      <c r="M320" s="8" t="n">
        <f aca="false">F320*H320</f>
        <v>90</v>
      </c>
      <c r="N320" s="2" t="n">
        <f aca="false">INDEX(Clienti!$E:$E,MATCH(I320,Clienti!$A:$A,0))</f>
        <v>0</v>
      </c>
      <c r="O320" s="19" t="n">
        <f aca="false">B320+N320</f>
        <v>46287</v>
      </c>
      <c r="P320" s="2" t="str">
        <f aca="false">IF(O320&gt;Ipoteze!$B$11,"Neincasat","Incasat")</f>
        <v>Incasat</v>
      </c>
    </row>
    <row r="321" customFormat="false" ht="15" hidden="false" customHeight="false" outlineLevel="0" collapsed="false">
      <c r="A321" s="2" t="s">
        <v>343</v>
      </c>
      <c r="B321" s="19" t="n">
        <v>46287</v>
      </c>
      <c r="C321" s="2" t="s">
        <v>426</v>
      </c>
      <c r="D321" s="2" t="s">
        <v>134</v>
      </c>
      <c r="E321" s="2" t="s">
        <v>105</v>
      </c>
      <c r="F321" s="2" t="n">
        <v>21</v>
      </c>
      <c r="G321" s="8" t="n">
        <v>129.9</v>
      </c>
      <c r="H321" s="8" t="n">
        <v>70</v>
      </c>
      <c r="I321" s="2" t="s">
        <v>116</v>
      </c>
      <c r="J321" s="8" t="n">
        <f aca="false">F321*G321</f>
        <v>2727.9</v>
      </c>
      <c r="K321" s="8" t="n">
        <f aca="false">ROUND(J321*Ipoteze!$B$4,2)</f>
        <v>572.86</v>
      </c>
      <c r="L321" s="8" t="n">
        <f aca="false">J321+K321</f>
        <v>3300.76</v>
      </c>
      <c r="M321" s="8" t="n">
        <f aca="false">F321*H321</f>
        <v>1470</v>
      </c>
      <c r="N321" s="2" t="n">
        <f aca="false">INDEX(Clienti!$E:$E,MATCH(I321,Clienti!$A:$A,0))</f>
        <v>30</v>
      </c>
      <c r="O321" s="19" t="n">
        <f aca="false">B321+N321</f>
        <v>46317</v>
      </c>
      <c r="P321" s="2" t="str">
        <f aca="false">IF(O321&gt;Ipoteze!$B$11,"Neincasat","Incasat")</f>
        <v>Neincasat</v>
      </c>
    </row>
    <row r="322" customFormat="false" ht="15" hidden="false" customHeight="false" outlineLevel="0" collapsed="false">
      <c r="A322" s="2" t="s">
        <v>343</v>
      </c>
      <c r="B322" s="19" t="n">
        <v>46287</v>
      </c>
      <c r="C322" s="2" t="s">
        <v>427</v>
      </c>
      <c r="D322" s="2" t="s">
        <v>94</v>
      </c>
      <c r="E322" s="2" t="s">
        <v>79</v>
      </c>
      <c r="F322" s="2" t="n">
        <v>22</v>
      </c>
      <c r="G322" s="8" t="n">
        <v>49.9</v>
      </c>
      <c r="H322" s="8" t="n">
        <v>19</v>
      </c>
      <c r="I322" s="2" t="s">
        <v>99</v>
      </c>
      <c r="J322" s="8" t="n">
        <f aca="false">F322*G322</f>
        <v>1097.8</v>
      </c>
      <c r="K322" s="8" t="n">
        <f aca="false">ROUND(J322*Ipoteze!$B$4,2)</f>
        <v>230.54</v>
      </c>
      <c r="L322" s="8" t="n">
        <f aca="false">J322+K322</f>
        <v>1328.34</v>
      </c>
      <c r="M322" s="8" t="n">
        <f aca="false">F322*H322</f>
        <v>418</v>
      </c>
      <c r="N322" s="2" t="n">
        <f aca="false">INDEX(Clienti!$E:$E,MATCH(I322,Clienti!$A:$A,0))</f>
        <v>30</v>
      </c>
      <c r="O322" s="19" t="n">
        <f aca="false">B322+N322</f>
        <v>46317</v>
      </c>
      <c r="P322" s="2" t="str">
        <f aca="false">IF(O322&gt;Ipoteze!$B$11,"Neincasat","Incasat")</f>
        <v>Neincasat</v>
      </c>
    </row>
    <row r="323" customFormat="false" ht="15" hidden="false" customHeight="false" outlineLevel="0" collapsed="false">
      <c r="A323" s="2" t="s">
        <v>343</v>
      </c>
      <c r="B323" s="19" t="n">
        <v>46287</v>
      </c>
      <c r="C323" s="2" t="s">
        <v>428</v>
      </c>
      <c r="D323" s="2" t="s">
        <v>134</v>
      </c>
      <c r="E323" s="2" t="s">
        <v>105</v>
      </c>
      <c r="F323" s="2" t="n">
        <v>6</v>
      </c>
      <c r="G323" s="8" t="n">
        <v>129.9</v>
      </c>
      <c r="H323" s="8" t="n">
        <v>70</v>
      </c>
      <c r="I323" s="2" t="s">
        <v>95</v>
      </c>
      <c r="J323" s="8" t="n">
        <f aca="false">F323*G323</f>
        <v>779.4</v>
      </c>
      <c r="K323" s="8" t="n">
        <f aca="false">ROUND(J323*Ipoteze!$B$4,2)</f>
        <v>163.67</v>
      </c>
      <c r="L323" s="8" t="n">
        <f aca="false">J323+K323</f>
        <v>943.07</v>
      </c>
      <c r="M323" s="8" t="n">
        <f aca="false">F323*H323</f>
        <v>420</v>
      </c>
      <c r="N323" s="2" t="n">
        <f aca="false">INDEX(Clienti!$E:$E,MATCH(I323,Clienti!$A:$A,0))</f>
        <v>30</v>
      </c>
      <c r="O323" s="19" t="n">
        <f aca="false">B323+N323</f>
        <v>46317</v>
      </c>
      <c r="P323" s="2" t="str">
        <f aca="false">IF(O323&gt;Ipoteze!$B$11,"Neincasat","Incasat")</f>
        <v>Neincasat</v>
      </c>
    </row>
    <row r="324" customFormat="false" ht="15" hidden="false" customHeight="false" outlineLevel="0" collapsed="false">
      <c r="A324" s="2" t="s">
        <v>343</v>
      </c>
      <c r="B324" s="19" t="n">
        <v>46288</v>
      </c>
      <c r="C324" s="2" t="s">
        <v>429</v>
      </c>
      <c r="D324" s="2" t="s">
        <v>94</v>
      </c>
      <c r="E324" s="2" t="s">
        <v>79</v>
      </c>
      <c r="F324" s="2" t="n">
        <v>7</v>
      </c>
      <c r="G324" s="8" t="n">
        <v>49.9</v>
      </c>
      <c r="H324" s="8" t="n">
        <v>19</v>
      </c>
      <c r="I324" s="2" t="s">
        <v>99</v>
      </c>
      <c r="J324" s="8" t="n">
        <f aca="false">F324*G324</f>
        <v>349.3</v>
      </c>
      <c r="K324" s="8" t="n">
        <f aca="false">ROUND(J324*Ipoteze!$B$4,2)</f>
        <v>73.35</v>
      </c>
      <c r="L324" s="8" t="n">
        <f aca="false">J324+K324</f>
        <v>422.65</v>
      </c>
      <c r="M324" s="8" t="n">
        <f aca="false">F324*H324</f>
        <v>133</v>
      </c>
      <c r="N324" s="2" t="n">
        <f aca="false">INDEX(Clienti!$E:$E,MATCH(I324,Clienti!$A:$A,0))</f>
        <v>30</v>
      </c>
      <c r="O324" s="19" t="n">
        <f aca="false">B324+N324</f>
        <v>46318</v>
      </c>
      <c r="P324" s="2" t="str">
        <f aca="false">IF(O324&gt;Ipoteze!$B$11,"Neincasat","Incasat")</f>
        <v>Neincasat</v>
      </c>
    </row>
    <row r="325" customFormat="false" ht="15" hidden="false" customHeight="false" outlineLevel="0" collapsed="false">
      <c r="A325" s="2" t="s">
        <v>343</v>
      </c>
      <c r="B325" s="19" t="n">
        <v>46288</v>
      </c>
      <c r="C325" s="2" t="s">
        <v>430</v>
      </c>
      <c r="D325" s="2" t="s">
        <v>82</v>
      </c>
      <c r="E325" s="2" t="s">
        <v>83</v>
      </c>
      <c r="F325" s="2" t="n">
        <v>24</v>
      </c>
      <c r="G325" s="8" t="n">
        <v>79.99</v>
      </c>
      <c r="H325" s="8" t="n">
        <v>45</v>
      </c>
      <c r="I325" s="2" t="s">
        <v>116</v>
      </c>
      <c r="J325" s="8" t="n">
        <f aca="false">F325*G325</f>
        <v>1919.76</v>
      </c>
      <c r="K325" s="8" t="n">
        <f aca="false">ROUND(J325*Ipoteze!$B$4,2)</f>
        <v>403.15</v>
      </c>
      <c r="L325" s="8" t="n">
        <f aca="false">J325+K325</f>
        <v>2322.91</v>
      </c>
      <c r="M325" s="8" t="n">
        <f aca="false">F325*H325</f>
        <v>1080</v>
      </c>
      <c r="N325" s="2" t="n">
        <f aca="false">INDEX(Clienti!$E:$E,MATCH(I325,Clienti!$A:$A,0))</f>
        <v>30</v>
      </c>
      <c r="O325" s="19" t="n">
        <f aca="false">B325+N325</f>
        <v>46318</v>
      </c>
      <c r="P325" s="2" t="str">
        <f aca="false">IF(O325&gt;Ipoteze!$B$11,"Neincasat","Incasat")</f>
        <v>Neincasat</v>
      </c>
    </row>
    <row r="326" customFormat="false" ht="15" hidden="false" customHeight="false" outlineLevel="0" collapsed="false">
      <c r="A326" s="2" t="s">
        <v>343</v>
      </c>
      <c r="B326" s="19" t="n">
        <v>46288</v>
      </c>
      <c r="C326" s="2" t="s">
        <v>431</v>
      </c>
      <c r="D326" s="2" t="s">
        <v>94</v>
      </c>
      <c r="E326" s="2" t="s">
        <v>79</v>
      </c>
      <c r="F326" s="2" t="n">
        <v>19</v>
      </c>
      <c r="G326" s="8" t="n">
        <v>49.9</v>
      </c>
      <c r="H326" s="8" t="n">
        <v>19</v>
      </c>
      <c r="I326" s="2" t="s">
        <v>95</v>
      </c>
      <c r="J326" s="8" t="n">
        <f aca="false">F326*G326</f>
        <v>948.1</v>
      </c>
      <c r="K326" s="8" t="n">
        <f aca="false">ROUND(J326*Ipoteze!$B$4,2)</f>
        <v>199.1</v>
      </c>
      <c r="L326" s="8" t="n">
        <f aca="false">J326+K326</f>
        <v>1147.2</v>
      </c>
      <c r="M326" s="8" t="n">
        <f aca="false">F326*H326</f>
        <v>361</v>
      </c>
      <c r="N326" s="2" t="n">
        <f aca="false">INDEX(Clienti!$E:$E,MATCH(I326,Clienti!$A:$A,0))</f>
        <v>30</v>
      </c>
      <c r="O326" s="19" t="n">
        <f aca="false">B326+N326</f>
        <v>46318</v>
      </c>
      <c r="P326" s="2" t="str">
        <f aca="false">IF(O326&gt;Ipoteze!$B$11,"Neincasat","Incasat")</f>
        <v>Neincasat</v>
      </c>
    </row>
    <row r="327" customFormat="false" ht="15" hidden="false" customHeight="false" outlineLevel="0" collapsed="false">
      <c r="A327" s="2" t="s">
        <v>343</v>
      </c>
      <c r="B327" s="19" t="n">
        <v>46289</v>
      </c>
      <c r="C327" s="2" t="s">
        <v>432</v>
      </c>
      <c r="D327" s="2" t="s">
        <v>94</v>
      </c>
      <c r="E327" s="2" t="s">
        <v>79</v>
      </c>
      <c r="F327" s="2" t="n">
        <v>2</v>
      </c>
      <c r="G327" s="8" t="n">
        <v>49.9</v>
      </c>
      <c r="H327" s="8" t="n">
        <v>19</v>
      </c>
      <c r="I327" s="2" t="s">
        <v>110</v>
      </c>
      <c r="J327" s="8" t="n">
        <f aca="false">F327*G327</f>
        <v>99.8</v>
      </c>
      <c r="K327" s="8" t="n">
        <f aca="false">ROUND(J327*Ipoteze!$B$4,2)</f>
        <v>20.96</v>
      </c>
      <c r="L327" s="8" t="n">
        <f aca="false">J327+K327</f>
        <v>120.76</v>
      </c>
      <c r="M327" s="8" t="n">
        <f aca="false">F327*H327</f>
        <v>38</v>
      </c>
      <c r="N327" s="2" t="n">
        <f aca="false">INDEX(Clienti!$E:$E,MATCH(I327,Clienti!$A:$A,0))</f>
        <v>0</v>
      </c>
      <c r="O327" s="19" t="n">
        <f aca="false">B327+N327</f>
        <v>46289</v>
      </c>
      <c r="P327" s="2" t="str">
        <f aca="false">IF(O327&gt;Ipoteze!$B$11,"Neincasat","Incasat")</f>
        <v>Incasat</v>
      </c>
    </row>
    <row r="328" customFormat="false" ht="15" hidden="false" customHeight="false" outlineLevel="0" collapsed="false">
      <c r="A328" s="2" t="s">
        <v>343</v>
      </c>
      <c r="B328" s="19" t="n">
        <v>46289</v>
      </c>
      <c r="C328" s="2" t="s">
        <v>433</v>
      </c>
      <c r="D328" s="2" t="s">
        <v>78</v>
      </c>
      <c r="E328" s="2" t="s">
        <v>79</v>
      </c>
      <c r="F328" s="2" t="n">
        <v>2</v>
      </c>
      <c r="G328" s="8" t="n">
        <v>169</v>
      </c>
      <c r="H328" s="8" t="n">
        <v>85</v>
      </c>
      <c r="I328" s="2" t="s">
        <v>84</v>
      </c>
      <c r="J328" s="8" t="n">
        <f aca="false">F328*G328</f>
        <v>338</v>
      </c>
      <c r="K328" s="8" t="n">
        <f aca="false">ROUND(J328*Ipoteze!$B$4,2)</f>
        <v>70.98</v>
      </c>
      <c r="L328" s="8" t="n">
        <f aca="false">J328+K328</f>
        <v>408.98</v>
      </c>
      <c r="M328" s="8" t="n">
        <f aca="false">F328*H328</f>
        <v>170</v>
      </c>
      <c r="N328" s="2" t="n">
        <f aca="false">INDEX(Clienti!$E:$E,MATCH(I328,Clienti!$A:$A,0))</f>
        <v>0</v>
      </c>
      <c r="O328" s="19" t="n">
        <f aca="false">B328+N328</f>
        <v>46289</v>
      </c>
      <c r="P328" s="2" t="str">
        <f aca="false">IF(O328&gt;Ipoteze!$B$11,"Neincasat","Incasat")</f>
        <v>Incasat</v>
      </c>
    </row>
    <row r="329" customFormat="false" ht="15" hidden="false" customHeight="false" outlineLevel="0" collapsed="false">
      <c r="A329" s="2" t="s">
        <v>343</v>
      </c>
      <c r="B329" s="19" t="n">
        <v>46289</v>
      </c>
      <c r="C329" s="2" t="s">
        <v>434</v>
      </c>
      <c r="D329" s="2" t="s">
        <v>89</v>
      </c>
      <c r="E329" s="2" t="s">
        <v>87</v>
      </c>
      <c r="F329" s="2" t="n">
        <v>19</v>
      </c>
      <c r="G329" s="8" t="n">
        <v>29.99</v>
      </c>
      <c r="H329" s="8" t="n">
        <v>9</v>
      </c>
      <c r="I329" s="2" t="s">
        <v>125</v>
      </c>
      <c r="J329" s="8" t="n">
        <f aca="false">F329*G329</f>
        <v>569.81</v>
      </c>
      <c r="K329" s="8" t="n">
        <f aca="false">ROUND(J329*Ipoteze!$B$4,2)</f>
        <v>119.66</v>
      </c>
      <c r="L329" s="8" t="n">
        <f aca="false">J329+K329</f>
        <v>689.47</v>
      </c>
      <c r="M329" s="8" t="n">
        <f aca="false">F329*H329</f>
        <v>171</v>
      </c>
      <c r="N329" s="2" t="n">
        <f aca="false">INDEX(Clienti!$E:$E,MATCH(I329,Clienti!$A:$A,0))</f>
        <v>15</v>
      </c>
      <c r="O329" s="19" t="n">
        <f aca="false">B329+N329</f>
        <v>46304</v>
      </c>
      <c r="P329" s="2" t="str">
        <f aca="false">IF(O329&gt;Ipoteze!$B$11,"Neincasat","Incasat")</f>
        <v>Neincasat</v>
      </c>
    </row>
    <row r="330" customFormat="false" ht="15" hidden="false" customHeight="false" outlineLevel="0" collapsed="false">
      <c r="A330" s="2" t="s">
        <v>343</v>
      </c>
      <c r="B330" s="19" t="n">
        <v>46289</v>
      </c>
      <c r="C330" s="2" t="s">
        <v>435</v>
      </c>
      <c r="D330" s="2" t="s">
        <v>101</v>
      </c>
      <c r="E330" s="2" t="s">
        <v>79</v>
      </c>
      <c r="F330" s="2" t="n">
        <v>18</v>
      </c>
      <c r="G330" s="8" t="n">
        <v>149</v>
      </c>
      <c r="H330" s="8" t="n">
        <v>75</v>
      </c>
      <c r="I330" s="2" t="s">
        <v>80</v>
      </c>
      <c r="J330" s="8" t="n">
        <f aca="false">F330*G330</f>
        <v>2682</v>
      </c>
      <c r="K330" s="8" t="n">
        <f aca="false">ROUND(J330*Ipoteze!$B$4,2)</f>
        <v>563.22</v>
      </c>
      <c r="L330" s="8" t="n">
        <f aca="false">J330+K330</f>
        <v>3245.22</v>
      </c>
      <c r="M330" s="8" t="n">
        <f aca="false">F330*H330</f>
        <v>1350</v>
      </c>
      <c r="N330" s="2" t="n">
        <f aca="false">INDEX(Clienti!$E:$E,MATCH(I330,Clienti!$A:$A,0))</f>
        <v>15</v>
      </c>
      <c r="O330" s="19" t="n">
        <f aca="false">B330+N330</f>
        <v>46304</v>
      </c>
      <c r="P330" s="2" t="str">
        <f aca="false">IF(O330&gt;Ipoteze!$B$11,"Neincasat","Incasat")</f>
        <v>Neincasat</v>
      </c>
    </row>
    <row r="331" customFormat="false" ht="15" hidden="false" customHeight="false" outlineLevel="0" collapsed="false">
      <c r="A331" s="2" t="s">
        <v>343</v>
      </c>
      <c r="B331" s="19" t="n">
        <v>46289</v>
      </c>
      <c r="C331" s="2" t="s">
        <v>436</v>
      </c>
      <c r="D331" s="2" t="s">
        <v>86</v>
      </c>
      <c r="E331" s="2" t="s">
        <v>87</v>
      </c>
      <c r="F331" s="2" t="n">
        <v>8</v>
      </c>
      <c r="G331" s="8" t="n">
        <v>54.9</v>
      </c>
      <c r="H331" s="8" t="n">
        <v>22</v>
      </c>
      <c r="I331" s="2" t="s">
        <v>95</v>
      </c>
      <c r="J331" s="8" t="n">
        <f aca="false">F331*G331</f>
        <v>439.2</v>
      </c>
      <c r="K331" s="8" t="n">
        <f aca="false">ROUND(J331*Ipoteze!$B$4,2)</f>
        <v>92.23</v>
      </c>
      <c r="L331" s="8" t="n">
        <f aca="false">J331+K331</f>
        <v>531.43</v>
      </c>
      <c r="M331" s="8" t="n">
        <f aca="false">F331*H331</f>
        <v>176</v>
      </c>
      <c r="N331" s="2" t="n">
        <f aca="false">INDEX(Clienti!$E:$E,MATCH(I331,Clienti!$A:$A,0))</f>
        <v>30</v>
      </c>
      <c r="O331" s="19" t="n">
        <f aca="false">B331+N331</f>
        <v>46319</v>
      </c>
      <c r="P331" s="2" t="str">
        <f aca="false">IF(O331&gt;Ipoteze!$B$11,"Neincasat","Incasat")</f>
        <v>Neincasat</v>
      </c>
    </row>
    <row r="332" customFormat="false" ht="15" hidden="false" customHeight="false" outlineLevel="0" collapsed="false">
      <c r="A332" s="2" t="s">
        <v>343</v>
      </c>
      <c r="B332" s="19" t="n">
        <v>46289</v>
      </c>
      <c r="C332" s="2" t="s">
        <v>437</v>
      </c>
      <c r="D332" s="2" t="s">
        <v>108</v>
      </c>
      <c r="E332" s="2" t="s">
        <v>83</v>
      </c>
      <c r="F332" s="2" t="n">
        <v>9</v>
      </c>
      <c r="G332" s="8" t="n">
        <v>289</v>
      </c>
      <c r="H332" s="8" t="n">
        <v>160</v>
      </c>
      <c r="I332" s="2" t="s">
        <v>95</v>
      </c>
      <c r="J332" s="8" t="n">
        <f aca="false">F332*G332</f>
        <v>2601</v>
      </c>
      <c r="K332" s="8" t="n">
        <f aca="false">ROUND(J332*Ipoteze!$B$4,2)</f>
        <v>546.21</v>
      </c>
      <c r="L332" s="8" t="n">
        <f aca="false">J332+K332</f>
        <v>3147.21</v>
      </c>
      <c r="M332" s="8" t="n">
        <f aca="false">F332*H332</f>
        <v>1440</v>
      </c>
      <c r="N332" s="2" t="n">
        <f aca="false">INDEX(Clienti!$E:$E,MATCH(I332,Clienti!$A:$A,0))</f>
        <v>30</v>
      </c>
      <c r="O332" s="19" t="n">
        <f aca="false">B332+N332</f>
        <v>46319</v>
      </c>
      <c r="P332" s="2" t="str">
        <f aca="false">IF(O332&gt;Ipoteze!$B$11,"Neincasat","Incasat")</f>
        <v>Neincasat</v>
      </c>
    </row>
    <row r="333" customFormat="false" ht="15" hidden="false" customHeight="false" outlineLevel="0" collapsed="false">
      <c r="A333" s="2" t="s">
        <v>343</v>
      </c>
      <c r="B333" s="19" t="n">
        <v>46290</v>
      </c>
      <c r="C333" s="2" t="s">
        <v>438</v>
      </c>
      <c r="D333" s="2" t="s">
        <v>89</v>
      </c>
      <c r="E333" s="2" t="s">
        <v>87</v>
      </c>
      <c r="F333" s="2" t="n">
        <v>3</v>
      </c>
      <c r="G333" s="8" t="n">
        <v>29.99</v>
      </c>
      <c r="H333" s="8" t="n">
        <v>9</v>
      </c>
      <c r="I333" s="2" t="s">
        <v>84</v>
      </c>
      <c r="J333" s="8" t="n">
        <f aca="false">F333*G333</f>
        <v>89.97</v>
      </c>
      <c r="K333" s="8" t="n">
        <f aca="false">ROUND(J333*Ipoteze!$B$4,2)</f>
        <v>18.89</v>
      </c>
      <c r="L333" s="8" t="n">
        <f aca="false">J333+K333</f>
        <v>108.86</v>
      </c>
      <c r="M333" s="8" t="n">
        <f aca="false">F333*H333</f>
        <v>27</v>
      </c>
      <c r="N333" s="2" t="n">
        <f aca="false">INDEX(Clienti!$E:$E,MATCH(I333,Clienti!$A:$A,0))</f>
        <v>0</v>
      </c>
      <c r="O333" s="19" t="n">
        <f aca="false">B333+N333</f>
        <v>46290</v>
      </c>
      <c r="P333" s="2" t="str">
        <f aca="false">IF(O333&gt;Ipoteze!$B$11,"Neincasat","Incasat")</f>
        <v>Incasat</v>
      </c>
    </row>
    <row r="334" customFormat="false" ht="15" hidden="false" customHeight="false" outlineLevel="0" collapsed="false">
      <c r="A334" s="2" t="s">
        <v>343</v>
      </c>
      <c r="B334" s="19" t="n">
        <v>46290</v>
      </c>
      <c r="C334" s="2" t="s">
        <v>439</v>
      </c>
      <c r="D334" s="2" t="s">
        <v>86</v>
      </c>
      <c r="E334" s="2" t="s">
        <v>87</v>
      </c>
      <c r="F334" s="2" t="n">
        <v>10</v>
      </c>
      <c r="G334" s="8" t="n">
        <v>54.9</v>
      </c>
      <c r="H334" s="8" t="n">
        <v>22</v>
      </c>
      <c r="I334" s="2" t="s">
        <v>125</v>
      </c>
      <c r="J334" s="8" t="n">
        <f aca="false">F334*G334</f>
        <v>549</v>
      </c>
      <c r="K334" s="8" t="n">
        <f aca="false">ROUND(J334*Ipoteze!$B$4,2)</f>
        <v>115.29</v>
      </c>
      <c r="L334" s="8" t="n">
        <f aca="false">J334+K334</f>
        <v>664.29</v>
      </c>
      <c r="M334" s="8" t="n">
        <f aca="false">F334*H334</f>
        <v>220</v>
      </c>
      <c r="N334" s="2" t="n">
        <f aca="false">INDEX(Clienti!$E:$E,MATCH(I334,Clienti!$A:$A,0))</f>
        <v>15</v>
      </c>
      <c r="O334" s="19" t="n">
        <f aca="false">B334+N334</f>
        <v>46305</v>
      </c>
      <c r="P334" s="2" t="str">
        <f aca="false">IF(O334&gt;Ipoteze!$B$11,"Neincasat","Incasat")</f>
        <v>Neincasat</v>
      </c>
    </row>
    <row r="335" customFormat="false" ht="15" hidden="false" customHeight="false" outlineLevel="0" collapsed="false">
      <c r="A335" s="2" t="s">
        <v>343</v>
      </c>
      <c r="B335" s="19" t="n">
        <v>46290</v>
      </c>
      <c r="C335" s="2" t="s">
        <v>440</v>
      </c>
      <c r="D335" s="2" t="s">
        <v>124</v>
      </c>
      <c r="E335" s="2" t="s">
        <v>98</v>
      </c>
      <c r="F335" s="2" t="n">
        <v>3</v>
      </c>
      <c r="G335" s="8" t="n">
        <v>39.9</v>
      </c>
      <c r="H335" s="8" t="n">
        <v>18</v>
      </c>
      <c r="I335" s="2" t="s">
        <v>84</v>
      </c>
      <c r="J335" s="8" t="n">
        <f aca="false">F335*G335</f>
        <v>119.7</v>
      </c>
      <c r="K335" s="8" t="n">
        <f aca="false">ROUND(J335*Ipoteze!$B$4,2)</f>
        <v>25.14</v>
      </c>
      <c r="L335" s="8" t="n">
        <f aca="false">J335+K335</f>
        <v>144.84</v>
      </c>
      <c r="M335" s="8" t="n">
        <f aca="false">F335*H335</f>
        <v>54</v>
      </c>
      <c r="N335" s="2" t="n">
        <f aca="false">INDEX(Clienti!$E:$E,MATCH(I335,Clienti!$A:$A,0))</f>
        <v>0</v>
      </c>
      <c r="O335" s="19" t="n">
        <f aca="false">B335+N335</f>
        <v>46290</v>
      </c>
      <c r="P335" s="2" t="str">
        <f aca="false">IF(O335&gt;Ipoteze!$B$11,"Neincasat","Incasat")</f>
        <v>Incasat</v>
      </c>
    </row>
    <row r="336" customFormat="false" ht="15" hidden="false" customHeight="false" outlineLevel="0" collapsed="false">
      <c r="A336" s="2" t="s">
        <v>343</v>
      </c>
      <c r="B336" s="19" t="n">
        <v>46290</v>
      </c>
      <c r="C336" s="2" t="s">
        <v>441</v>
      </c>
      <c r="D336" s="2" t="s">
        <v>113</v>
      </c>
      <c r="E336" s="2" t="s">
        <v>114</v>
      </c>
      <c r="F336" s="2" t="n">
        <v>1</v>
      </c>
      <c r="G336" s="8" t="n">
        <v>1199</v>
      </c>
      <c r="H336" s="8" t="n">
        <v>780</v>
      </c>
      <c r="I336" s="2" t="s">
        <v>92</v>
      </c>
      <c r="J336" s="8" t="n">
        <f aca="false">F336*G336</f>
        <v>1199</v>
      </c>
      <c r="K336" s="8" t="n">
        <f aca="false">ROUND(J336*Ipoteze!$B$4,2)</f>
        <v>251.79</v>
      </c>
      <c r="L336" s="8" t="n">
        <f aca="false">J336+K336</f>
        <v>1450.79</v>
      </c>
      <c r="M336" s="8" t="n">
        <f aca="false">F336*H336</f>
        <v>780</v>
      </c>
      <c r="N336" s="2" t="n">
        <f aca="false">INDEX(Clienti!$E:$E,MATCH(I336,Clienti!$A:$A,0))</f>
        <v>14</v>
      </c>
      <c r="O336" s="19" t="n">
        <f aca="false">B336+N336</f>
        <v>46304</v>
      </c>
      <c r="P336" s="2" t="str">
        <f aca="false">IF(O336&gt;Ipoteze!$B$11,"Neincasat","Incasat")</f>
        <v>Neincasat</v>
      </c>
    </row>
    <row r="337" customFormat="false" ht="15" hidden="false" customHeight="false" outlineLevel="0" collapsed="false">
      <c r="A337" s="2" t="s">
        <v>343</v>
      </c>
      <c r="B337" s="19" t="n">
        <v>46290</v>
      </c>
      <c r="C337" s="2" t="s">
        <v>442</v>
      </c>
      <c r="D337" s="2" t="s">
        <v>113</v>
      </c>
      <c r="E337" s="2" t="s">
        <v>114</v>
      </c>
      <c r="F337" s="2" t="n">
        <v>4</v>
      </c>
      <c r="G337" s="8" t="n">
        <v>1199</v>
      </c>
      <c r="H337" s="8" t="n">
        <v>780</v>
      </c>
      <c r="I337" s="2" t="s">
        <v>95</v>
      </c>
      <c r="J337" s="8" t="n">
        <f aca="false">F337*G337</f>
        <v>4796</v>
      </c>
      <c r="K337" s="8" t="n">
        <f aca="false">ROUND(J337*Ipoteze!$B$4,2)</f>
        <v>1007.16</v>
      </c>
      <c r="L337" s="8" t="n">
        <f aca="false">J337+K337</f>
        <v>5803.16</v>
      </c>
      <c r="M337" s="8" t="n">
        <f aca="false">F337*H337</f>
        <v>3120</v>
      </c>
      <c r="N337" s="2" t="n">
        <f aca="false">INDEX(Clienti!$E:$E,MATCH(I337,Clienti!$A:$A,0))</f>
        <v>30</v>
      </c>
      <c r="O337" s="19" t="n">
        <f aca="false">B337+N337</f>
        <v>46320</v>
      </c>
      <c r="P337" s="2" t="str">
        <f aca="false">IF(O337&gt;Ipoteze!$B$11,"Neincasat","Incasat")</f>
        <v>Neincasat</v>
      </c>
    </row>
    <row r="338" customFormat="false" ht="15" hidden="false" customHeight="false" outlineLevel="0" collapsed="false">
      <c r="A338" s="2" t="s">
        <v>343</v>
      </c>
      <c r="B338" s="19" t="n">
        <v>46291</v>
      </c>
      <c r="C338" s="2" t="s">
        <v>443</v>
      </c>
      <c r="D338" s="2" t="s">
        <v>134</v>
      </c>
      <c r="E338" s="2" t="s">
        <v>105</v>
      </c>
      <c r="F338" s="2" t="n">
        <v>19</v>
      </c>
      <c r="G338" s="8" t="n">
        <v>129.9</v>
      </c>
      <c r="H338" s="8" t="n">
        <v>70</v>
      </c>
      <c r="I338" s="2" t="s">
        <v>125</v>
      </c>
      <c r="J338" s="8" t="n">
        <f aca="false">F338*G338</f>
        <v>2468.1</v>
      </c>
      <c r="K338" s="8" t="n">
        <f aca="false">ROUND(J338*Ipoteze!$B$4,2)</f>
        <v>518.3</v>
      </c>
      <c r="L338" s="8" t="n">
        <f aca="false">J338+K338</f>
        <v>2986.4</v>
      </c>
      <c r="M338" s="8" t="n">
        <f aca="false">F338*H338</f>
        <v>1330</v>
      </c>
      <c r="N338" s="2" t="n">
        <f aca="false">INDEX(Clienti!$E:$E,MATCH(I338,Clienti!$A:$A,0))</f>
        <v>15</v>
      </c>
      <c r="O338" s="19" t="n">
        <f aca="false">B338+N338</f>
        <v>46306</v>
      </c>
      <c r="P338" s="2" t="str">
        <f aca="false">IF(O338&gt;Ipoteze!$B$11,"Neincasat","Incasat")</f>
        <v>Neincasat</v>
      </c>
    </row>
    <row r="339" customFormat="false" ht="15" hidden="false" customHeight="false" outlineLevel="0" collapsed="false">
      <c r="A339" s="2" t="s">
        <v>343</v>
      </c>
      <c r="B339" s="19" t="n">
        <v>46291</v>
      </c>
      <c r="C339" s="2" t="s">
        <v>444</v>
      </c>
      <c r="D339" s="2" t="s">
        <v>91</v>
      </c>
      <c r="E339" s="2" t="s">
        <v>79</v>
      </c>
      <c r="F339" s="2" t="n">
        <v>21</v>
      </c>
      <c r="G339" s="8" t="n">
        <v>99</v>
      </c>
      <c r="H339" s="8" t="n">
        <v>48</v>
      </c>
      <c r="I339" s="2" t="s">
        <v>95</v>
      </c>
      <c r="J339" s="8" t="n">
        <f aca="false">F339*G339</f>
        <v>2079</v>
      </c>
      <c r="K339" s="8" t="n">
        <f aca="false">ROUND(J339*Ipoteze!$B$4,2)</f>
        <v>436.59</v>
      </c>
      <c r="L339" s="8" t="n">
        <f aca="false">J339+K339</f>
        <v>2515.59</v>
      </c>
      <c r="M339" s="8" t="n">
        <f aca="false">F339*H339</f>
        <v>1008</v>
      </c>
      <c r="N339" s="2" t="n">
        <f aca="false">INDEX(Clienti!$E:$E,MATCH(I339,Clienti!$A:$A,0))</f>
        <v>30</v>
      </c>
      <c r="O339" s="19" t="n">
        <f aca="false">B339+N339</f>
        <v>46321</v>
      </c>
      <c r="P339" s="2" t="str">
        <f aca="false">IF(O339&gt;Ipoteze!$B$11,"Neincasat","Incasat")</f>
        <v>Neincasat</v>
      </c>
    </row>
    <row r="340" customFormat="false" ht="15" hidden="false" customHeight="false" outlineLevel="0" collapsed="false">
      <c r="A340" s="2" t="s">
        <v>343</v>
      </c>
      <c r="B340" s="19" t="n">
        <v>46291</v>
      </c>
      <c r="C340" s="2" t="s">
        <v>445</v>
      </c>
      <c r="D340" s="2" t="s">
        <v>97</v>
      </c>
      <c r="E340" s="2" t="s">
        <v>98</v>
      </c>
      <c r="F340" s="2" t="n">
        <v>8</v>
      </c>
      <c r="G340" s="8" t="n">
        <v>449</v>
      </c>
      <c r="H340" s="8" t="n">
        <v>290</v>
      </c>
      <c r="I340" s="2" t="s">
        <v>99</v>
      </c>
      <c r="J340" s="8" t="n">
        <f aca="false">F340*G340</f>
        <v>3592</v>
      </c>
      <c r="K340" s="8" t="n">
        <f aca="false">ROUND(J340*Ipoteze!$B$4,2)</f>
        <v>754.32</v>
      </c>
      <c r="L340" s="8" t="n">
        <f aca="false">J340+K340</f>
        <v>4346.32</v>
      </c>
      <c r="M340" s="8" t="n">
        <f aca="false">F340*H340</f>
        <v>2320</v>
      </c>
      <c r="N340" s="2" t="n">
        <f aca="false">INDEX(Clienti!$E:$E,MATCH(I340,Clienti!$A:$A,0))</f>
        <v>30</v>
      </c>
      <c r="O340" s="19" t="n">
        <f aca="false">B340+N340</f>
        <v>46321</v>
      </c>
      <c r="P340" s="2" t="str">
        <f aca="false">IF(O340&gt;Ipoteze!$B$11,"Neincasat","Incasat")</f>
        <v>Neincasat</v>
      </c>
    </row>
    <row r="341" customFormat="false" ht="15" hidden="false" customHeight="false" outlineLevel="0" collapsed="false">
      <c r="A341" s="2" t="s">
        <v>343</v>
      </c>
      <c r="B341" s="19" t="n">
        <v>46291</v>
      </c>
      <c r="C341" s="2" t="s">
        <v>446</v>
      </c>
      <c r="D341" s="2" t="s">
        <v>108</v>
      </c>
      <c r="E341" s="2" t="s">
        <v>83</v>
      </c>
      <c r="F341" s="2" t="n">
        <v>7</v>
      </c>
      <c r="G341" s="8" t="n">
        <v>289</v>
      </c>
      <c r="H341" s="8" t="n">
        <v>160</v>
      </c>
      <c r="I341" s="2" t="s">
        <v>99</v>
      </c>
      <c r="J341" s="8" t="n">
        <f aca="false">F341*G341</f>
        <v>2023</v>
      </c>
      <c r="K341" s="8" t="n">
        <f aca="false">ROUND(J341*Ipoteze!$B$4,2)</f>
        <v>424.83</v>
      </c>
      <c r="L341" s="8" t="n">
        <f aca="false">J341+K341</f>
        <v>2447.83</v>
      </c>
      <c r="M341" s="8" t="n">
        <f aca="false">F341*H341</f>
        <v>1120</v>
      </c>
      <c r="N341" s="2" t="n">
        <f aca="false">INDEX(Clienti!$E:$E,MATCH(I341,Clienti!$A:$A,0))</f>
        <v>30</v>
      </c>
      <c r="O341" s="19" t="n">
        <f aca="false">B341+N341</f>
        <v>46321</v>
      </c>
      <c r="P341" s="2" t="str">
        <f aca="false">IF(O341&gt;Ipoteze!$B$11,"Neincasat","Incasat")</f>
        <v>Neincasat</v>
      </c>
    </row>
    <row r="342" customFormat="false" ht="15" hidden="false" customHeight="false" outlineLevel="0" collapsed="false">
      <c r="A342" s="2" t="s">
        <v>343</v>
      </c>
      <c r="B342" s="19" t="n">
        <v>46291</v>
      </c>
      <c r="C342" s="2" t="s">
        <v>447</v>
      </c>
      <c r="D342" s="2" t="s">
        <v>78</v>
      </c>
      <c r="E342" s="2" t="s">
        <v>79</v>
      </c>
      <c r="F342" s="2" t="n">
        <v>13</v>
      </c>
      <c r="G342" s="8" t="n">
        <v>169</v>
      </c>
      <c r="H342" s="8" t="n">
        <v>85</v>
      </c>
      <c r="I342" s="2" t="s">
        <v>80</v>
      </c>
      <c r="J342" s="8" t="n">
        <f aca="false">F342*G342</f>
        <v>2197</v>
      </c>
      <c r="K342" s="8" t="n">
        <f aca="false">ROUND(J342*Ipoteze!$B$4,2)</f>
        <v>461.37</v>
      </c>
      <c r="L342" s="8" t="n">
        <f aca="false">J342+K342</f>
        <v>2658.37</v>
      </c>
      <c r="M342" s="8" t="n">
        <f aca="false">F342*H342</f>
        <v>1105</v>
      </c>
      <c r="N342" s="2" t="n">
        <f aca="false">INDEX(Clienti!$E:$E,MATCH(I342,Clienti!$A:$A,0))</f>
        <v>15</v>
      </c>
      <c r="O342" s="19" t="n">
        <f aca="false">B342+N342</f>
        <v>46306</v>
      </c>
      <c r="P342" s="2" t="str">
        <f aca="false">IF(O342&gt;Ipoteze!$B$11,"Neincasat","Incasat")</f>
        <v>Neincasat</v>
      </c>
    </row>
    <row r="343" customFormat="false" ht="15" hidden="false" customHeight="false" outlineLevel="0" collapsed="false">
      <c r="A343" s="2" t="s">
        <v>343</v>
      </c>
      <c r="B343" s="19" t="n">
        <v>46293</v>
      </c>
      <c r="C343" s="2" t="s">
        <v>448</v>
      </c>
      <c r="D343" s="2" t="s">
        <v>130</v>
      </c>
      <c r="E343" s="2" t="s">
        <v>83</v>
      </c>
      <c r="F343" s="2" t="n">
        <v>17</v>
      </c>
      <c r="G343" s="8" t="n">
        <v>349</v>
      </c>
      <c r="H343" s="8" t="n">
        <v>190</v>
      </c>
      <c r="I343" s="2" t="s">
        <v>95</v>
      </c>
      <c r="J343" s="8" t="n">
        <f aca="false">F343*G343</f>
        <v>5933</v>
      </c>
      <c r="K343" s="8" t="n">
        <f aca="false">ROUND(J343*Ipoteze!$B$4,2)</f>
        <v>1245.93</v>
      </c>
      <c r="L343" s="8" t="n">
        <f aca="false">J343+K343</f>
        <v>7178.93</v>
      </c>
      <c r="M343" s="8" t="n">
        <f aca="false">F343*H343</f>
        <v>3230</v>
      </c>
      <c r="N343" s="2" t="n">
        <f aca="false">INDEX(Clienti!$E:$E,MATCH(I343,Clienti!$A:$A,0))</f>
        <v>30</v>
      </c>
      <c r="O343" s="19" t="n">
        <f aca="false">B343+N343</f>
        <v>46323</v>
      </c>
      <c r="P343" s="2" t="str">
        <f aca="false">IF(O343&gt;Ipoteze!$B$11,"Neincasat","Incasat")</f>
        <v>Neincasat</v>
      </c>
    </row>
    <row r="344" customFormat="false" ht="15" hidden="false" customHeight="false" outlineLevel="0" collapsed="false">
      <c r="A344" s="2" t="s">
        <v>343</v>
      </c>
      <c r="B344" s="19" t="n">
        <v>46293</v>
      </c>
      <c r="C344" s="2" t="s">
        <v>449</v>
      </c>
      <c r="D344" s="2" t="s">
        <v>89</v>
      </c>
      <c r="E344" s="2" t="s">
        <v>87</v>
      </c>
      <c r="F344" s="2" t="n">
        <v>2</v>
      </c>
      <c r="G344" s="8" t="n">
        <v>29.99</v>
      </c>
      <c r="H344" s="8" t="n">
        <v>9</v>
      </c>
      <c r="I344" s="2" t="s">
        <v>110</v>
      </c>
      <c r="J344" s="8" t="n">
        <f aca="false">F344*G344</f>
        <v>59.98</v>
      </c>
      <c r="K344" s="8" t="n">
        <f aca="false">ROUND(J344*Ipoteze!$B$4,2)</f>
        <v>12.6</v>
      </c>
      <c r="L344" s="8" t="n">
        <f aca="false">J344+K344</f>
        <v>72.58</v>
      </c>
      <c r="M344" s="8" t="n">
        <f aca="false">F344*H344</f>
        <v>18</v>
      </c>
      <c r="N344" s="2" t="n">
        <f aca="false">INDEX(Clienti!$E:$E,MATCH(I344,Clienti!$A:$A,0))</f>
        <v>0</v>
      </c>
      <c r="O344" s="19" t="n">
        <f aca="false">B344+N344</f>
        <v>46293</v>
      </c>
      <c r="P344" s="2" t="str">
        <f aca="false">IF(O344&gt;Ipoteze!$B$11,"Neincasat","Incasat")</f>
        <v>Incasat</v>
      </c>
    </row>
    <row r="345" customFormat="false" ht="15" hidden="false" customHeight="false" outlineLevel="0" collapsed="false">
      <c r="A345" s="2" t="s">
        <v>343</v>
      </c>
      <c r="B345" s="19" t="n">
        <v>46293</v>
      </c>
      <c r="C345" s="2" t="s">
        <v>450</v>
      </c>
      <c r="D345" s="2" t="s">
        <v>82</v>
      </c>
      <c r="E345" s="2" t="s">
        <v>83</v>
      </c>
      <c r="F345" s="2" t="n">
        <v>1</v>
      </c>
      <c r="G345" s="8" t="n">
        <v>79.99</v>
      </c>
      <c r="H345" s="8" t="n">
        <v>45</v>
      </c>
      <c r="I345" s="2" t="s">
        <v>84</v>
      </c>
      <c r="J345" s="8" t="n">
        <f aca="false">F345*G345</f>
        <v>79.99</v>
      </c>
      <c r="K345" s="8" t="n">
        <f aca="false">ROUND(J345*Ipoteze!$B$4,2)</f>
        <v>16.8</v>
      </c>
      <c r="L345" s="8" t="n">
        <f aca="false">J345+K345</f>
        <v>96.79</v>
      </c>
      <c r="M345" s="8" t="n">
        <f aca="false">F345*H345</f>
        <v>45</v>
      </c>
      <c r="N345" s="2" t="n">
        <f aca="false">INDEX(Clienti!$E:$E,MATCH(I345,Clienti!$A:$A,0))</f>
        <v>0</v>
      </c>
      <c r="O345" s="19" t="n">
        <f aca="false">B345+N345</f>
        <v>46293</v>
      </c>
      <c r="P345" s="2" t="str">
        <f aca="false">IF(O345&gt;Ipoteze!$B$11,"Neincasat","Incasat")</f>
        <v>Incasat</v>
      </c>
    </row>
    <row r="346" customFormat="false" ht="15" hidden="false" customHeight="false" outlineLevel="0" collapsed="false">
      <c r="A346" s="2" t="s">
        <v>343</v>
      </c>
      <c r="B346" s="19" t="n">
        <v>46293</v>
      </c>
      <c r="C346" s="2" t="s">
        <v>451</v>
      </c>
      <c r="D346" s="2" t="s">
        <v>134</v>
      </c>
      <c r="E346" s="2" t="s">
        <v>105</v>
      </c>
      <c r="F346" s="2" t="n">
        <v>2</v>
      </c>
      <c r="G346" s="8" t="n">
        <v>129.9</v>
      </c>
      <c r="H346" s="8" t="n">
        <v>70</v>
      </c>
      <c r="I346" s="2" t="s">
        <v>84</v>
      </c>
      <c r="J346" s="8" t="n">
        <f aca="false">F346*G346</f>
        <v>259.8</v>
      </c>
      <c r="K346" s="8" t="n">
        <f aca="false">ROUND(J346*Ipoteze!$B$4,2)</f>
        <v>54.56</v>
      </c>
      <c r="L346" s="8" t="n">
        <f aca="false">J346+K346</f>
        <v>314.36</v>
      </c>
      <c r="M346" s="8" t="n">
        <f aca="false">F346*H346</f>
        <v>140</v>
      </c>
      <c r="N346" s="2" t="n">
        <f aca="false">INDEX(Clienti!$E:$E,MATCH(I346,Clienti!$A:$A,0))</f>
        <v>0</v>
      </c>
      <c r="O346" s="19" t="n">
        <f aca="false">B346+N346</f>
        <v>46293</v>
      </c>
      <c r="P346" s="2" t="str">
        <f aca="false">IF(O346&gt;Ipoteze!$B$11,"Neincasat","Incasat")</f>
        <v>Incasat</v>
      </c>
    </row>
    <row r="347" customFormat="false" ht="15" hidden="false" customHeight="false" outlineLevel="0" collapsed="false">
      <c r="A347" s="2" t="s">
        <v>343</v>
      </c>
      <c r="B347" s="19" t="n">
        <v>46294</v>
      </c>
      <c r="C347" s="2" t="s">
        <v>452</v>
      </c>
      <c r="D347" s="2" t="s">
        <v>78</v>
      </c>
      <c r="E347" s="2" t="s">
        <v>79</v>
      </c>
      <c r="F347" s="2" t="n">
        <v>1</v>
      </c>
      <c r="G347" s="8" t="n">
        <v>169</v>
      </c>
      <c r="H347" s="8" t="n">
        <v>85</v>
      </c>
      <c r="I347" s="2" t="s">
        <v>110</v>
      </c>
      <c r="J347" s="8" t="n">
        <f aca="false">F347*G347</f>
        <v>169</v>
      </c>
      <c r="K347" s="8" t="n">
        <f aca="false">ROUND(J347*Ipoteze!$B$4,2)</f>
        <v>35.49</v>
      </c>
      <c r="L347" s="8" t="n">
        <f aca="false">J347+K347</f>
        <v>204.49</v>
      </c>
      <c r="M347" s="8" t="n">
        <f aca="false">F347*H347</f>
        <v>85</v>
      </c>
      <c r="N347" s="2" t="n">
        <f aca="false">INDEX(Clienti!$E:$E,MATCH(I347,Clienti!$A:$A,0))</f>
        <v>0</v>
      </c>
      <c r="O347" s="19" t="n">
        <f aca="false">B347+N347</f>
        <v>46294</v>
      </c>
      <c r="P347" s="2" t="str">
        <f aca="false">IF(O347&gt;Ipoteze!$B$11,"Neincasat","Incasat")</f>
        <v>Incasat</v>
      </c>
    </row>
    <row r="348" customFormat="false" ht="15" hidden="false" customHeight="false" outlineLevel="0" collapsed="false">
      <c r="A348" s="2" t="s">
        <v>343</v>
      </c>
      <c r="B348" s="19" t="n">
        <v>46294</v>
      </c>
      <c r="C348" s="2" t="s">
        <v>453</v>
      </c>
      <c r="D348" s="2" t="s">
        <v>108</v>
      </c>
      <c r="E348" s="2" t="s">
        <v>83</v>
      </c>
      <c r="F348" s="2" t="n">
        <v>12</v>
      </c>
      <c r="G348" s="8" t="n">
        <v>289</v>
      </c>
      <c r="H348" s="8" t="n">
        <v>160</v>
      </c>
      <c r="I348" s="2" t="s">
        <v>116</v>
      </c>
      <c r="J348" s="8" t="n">
        <f aca="false">F348*G348</f>
        <v>3468</v>
      </c>
      <c r="K348" s="8" t="n">
        <f aca="false">ROUND(J348*Ipoteze!$B$4,2)</f>
        <v>728.28</v>
      </c>
      <c r="L348" s="8" t="n">
        <f aca="false">J348+K348</f>
        <v>4196.28</v>
      </c>
      <c r="M348" s="8" t="n">
        <f aca="false">F348*H348</f>
        <v>1920</v>
      </c>
      <c r="N348" s="2" t="n">
        <f aca="false">INDEX(Clienti!$E:$E,MATCH(I348,Clienti!$A:$A,0))</f>
        <v>30</v>
      </c>
      <c r="O348" s="19" t="n">
        <f aca="false">B348+N348</f>
        <v>46324</v>
      </c>
      <c r="P348" s="2" t="str">
        <f aca="false">IF(O348&gt;Ipoteze!$B$11,"Neincasat","Incasat")</f>
        <v>Neincasat</v>
      </c>
    </row>
    <row r="349" customFormat="false" ht="15" hidden="false" customHeight="false" outlineLevel="0" collapsed="false">
      <c r="A349" s="2" t="s">
        <v>343</v>
      </c>
      <c r="B349" s="19" t="n">
        <v>46294</v>
      </c>
      <c r="C349" s="2" t="s">
        <v>454</v>
      </c>
      <c r="D349" s="2" t="s">
        <v>86</v>
      </c>
      <c r="E349" s="2" t="s">
        <v>87</v>
      </c>
      <c r="F349" s="2" t="n">
        <v>19</v>
      </c>
      <c r="G349" s="8" t="n">
        <v>54.9</v>
      </c>
      <c r="H349" s="8" t="n">
        <v>22</v>
      </c>
      <c r="I349" s="2" t="s">
        <v>99</v>
      </c>
      <c r="J349" s="8" t="n">
        <f aca="false">F349*G349</f>
        <v>1043.1</v>
      </c>
      <c r="K349" s="8" t="n">
        <f aca="false">ROUND(J349*Ipoteze!$B$4,2)</f>
        <v>219.05</v>
      </c>
      <c r="L349" s="8" t="n">
        <f aca="false">J349+K349</f>
        <v>1262.15</v>
      </c>
      <c r="M349" s="8" t="n">
        <f aca="false">F349*H349</f>
        <v>418</v>
      </c>
      <c r="N349" s="2" t="n">
        <f aca="false">INDEX(Clienti!$E:$E,MATCH(I349,Clienti!$A:$A,0))</f>
        <v>30</v>
      </c>
      <c r="O349" s="19" t="n">
        <f aca="false">B349+N349</f>
        <v>46324</v>
      </c>
      <c r="P349" s="2" t="str">
        <f aca="false">IF(O349&gt;Ipoteze!$B$11,"Neincasat","Incasat")</f>
        <v>Neincasat</v>
      </c>
    </row>
    <row r="350" customFormat="false" ht="15" hidden="false" customHeight="false" outlineLevel="0" collapsed="false">
      <c r="A350" s="2" t="s">
        <v>343</v>
      </c>
      <c r="B350" s="19" t="n">
        <v>46295</v>
      </c>
      <c r="C350" s="2" t="s">
        <v>455</v>
      </c>
      <c r="D350" s="2" t="s">
        <v>101</v>
      </c>
      <c r="E350" s="2" t="s">
        <v>79</v>
      </c>
      <c r="F350" s="2" t="n">
        <v>1</v>
      </c>
      <c r="G350" s="8" t="n">
        <v>149</v>
      </c>
      <c r="H350" s="8" t="n">
        <v>75</v>
      </c>
      <c r="I350" s="2" t="s">
        <v>92</v>
      </c>
      <c r="J350" s="8" t="n">
        <f aca="false">F350*G350</f>
        <v>149</v>
      </c>
      <c r="K350" s="8" t="n">
        <f aca="false">ROUND(J350*Ipoteze!$B$4,2)</f>
        <v>31.29</v>
      </c>
      <c r="L350" s="8" t="n">
        <f aca="false">J350+K350</f>
        <v>180.29</v>
      </c>
      <c r="M350" s="8" t="n">
        <f aca="false">F350*H350</f>
        <v>75</v>
      </c>
      <c r="N350" s="2" t="n">
        <f aca="false">INDEX(Clienti!$E:$E,MATCH(I350,Clienti!$A:$A,0))</f>
        <v>14</v>
      </c>
      <c r="O350" s="19" t="n">
        <f aca="false">B350+N350</f>
        <v>46309</v>
      </c>
      <c r="P350" s="2" t="str">
        <f aca="false">IF(O350&gt;Ipoteze!$B$11,"Neincasat","Incasat")</f>
        <v>Neincasat</v>
      </c>
    </row>
    <row r="351" customFormat="false" ht="15" hidden="false" customHeight="false" outlineLevel="0" collapsed="false">
      <c r="A351" s="2" t="s">
        <v>343</v>
      </c>
      <c r="B351" s="19" t="n">
        <v>46295</v>
      </c>
      <c r="C351" s="2" t="s">
        <v>456</v>
      </c>
      <c r="D351" s="2" t="s">
        <v>97</v>
      </c>
      <c r="E351" s="2" t="s">
        <v>98</v>
      </c>
      <c r="F351" s="2" t="n">
        <v>12</v>
      </c>
      <c r="G351" s="8" t="n">
        <v>449</v>
      </c>
      <c r="H351" s="8" t="n">
        <v>290</v>
      </c>
      <c r="I351" s="2" t="s">
        <v>116</v>
      </c>
      <c r="J351" s="8" t="n">
        <f aca="false">F351*G351</f>
        <v>5388</v>
      </c>
      <c r="K351" s="8" t="n">
        <f aca="false">ROUND(J351*Ipoteze!$B$4,2)</f>
        <v>1131.48</v>
      </c>
      <c r="L351" s="8" t="n">
        <f aca="false">J351+K351</f>
        <v>6519.48</v>
      </c>
      <c r="M351" s="8" t="n">
        <f aca="false">F351*H351</f>
        <v>3480</v>
      </c>
      <c r="N351" s="2" t="n">
        <f aca="false">INDEX(Clienti!$E:$E,MATCH(I351,Clienti!$A:$A,0))</f>
        <v>30</v>
      </c>
      <c r="O351" s="19" t="n">
        <f aca="false">B351+N351</f>
        <v>46325</v>
      </c>
      <c r="P351" s="2" t="str">
        <f aca="false">IF(O351&gt;Ipoteze!$B$11,"Neincasat","Incasat")</f>
        <v>Neincasat</v>
      </c>
    </row>
    <row r="352" customFormat="false" ht="15" hidden="false" customHeight="false" outlineLevel="0" collapsed="false">
      <c r="A352" s="2" t="s">
        <v>343</v>
      </c>
      <c r="B352" s="19" t="n">
        <v>46295</v>
      </c>
      <c r="C352" s="2" t="s">
        <v>457</v>
      </c>
      <c r="D352" s="2" t="s">
        <v>86</v>
      </c>
      <c r="E352" s="2" t="s">
        <v>87</v>
      </c>
      <c r="F352" s="2" t="n">
        <v>1</v>
      </c>
      <c r="G352" s="8" t="n">
        <v>54.9</v>
      </c>
      <c r="H352" s="8" t="n">
        <v>22</v>
      </c>
      <c r="I352" s="2" t="s">
        <v>92</v>
      </c>
      <c r="J352" s="8" t="n">
        <f aca="false">F352*G352</f>
        <v>54.9</v>
      </c>
      <c r="K352" s="8" t="n">
        <f aca="false">ROUND(J352*Ipoteze!$B$4,2)</f>
        <v>11.53</v>
      </c>
      <c r="L352" s="8" t="n">
        <f aca="false">J352+K352</f>
        <v>66.43</v>
      </c>
      <c r="M352" s="8" t="n">
        <f aca="false">F352*H352</f>
        <v>22</v>
      </c>
      <c r="N352" s="2" t="n">
        <f aca="false">INDEX(Clienti!$E:$E,MATCH(I352,Clienti!$A:$A,0))</f>
        <v>14</v>
      </c>
      <c r="O352" s="19" t="n">
        <f aca="false">B352+N352</f>
        <v>46309</v>
      </c>
      <c r="P352" s="2" t="str">
        <f aca="false">IF(O352&gt;Ipoteze!$B$11,"Neincasat","Incasat")</f>
        <v>Neincasat</v>
      </c>
    </row>
  </sheetData>
  <autoFilter ref="A1:P3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35.05" hidden="false" customHeight="false" outlineLevel="0" collapsed="false">
      <c r="A1" s="4" t="s">
        <v>60</v>
      </c>
      <c r="B1" s="4" t="s">
        <v>61</v>
      </c>
      <c r="C1" s="4" t="s">
        <v>458</v>
      </c>
      <c r="D1" s="4" t="s">
        <v>459</v>
      </c>
      <c r="E1" s="4" t="s">
        <v>460</v>
      </c>
      <c r="F1" s="4" t="s">
        <v>63</v>
      </c>
      <c r="G1" s="4" t="s">
        <v>65</v>
      </c>
      <c r="H1" s="4" t="s">
        <v>461</v>
      </c>
      <c r="I1" s="4" t="s">
        <v>69</v>
      </c>
      <c r="J1" s="4" t="s">
        <v>462</v>
      </c>
      <c r="K1" s="4" t="s">
        <v>71</v>
      </c>
    </row>
    <row r="2" customFormat="false" ht="15" hidden="false" customHeight="false" outlineLevel="0" collapsed="false">
      <c r="A2" s="2" t="s">
        <v>76</v>
      </c>
      <c r="B2" s="19" t="n">
        <v>46205</v>
      </c>
      <c r="C2" s="2" t="s">
        <v>463</v>
      </c>
      <c r="D2" s="2" t="s">
        <v>464</v>
      </c>
      <c r="E2" s="2" t="s">
        <v>465</v>
      </c>
      <c r="F2" s="2" t="s">
        <v>94</v>
      </c>
      <c r="G2" s="2" t="n">
        <v>30</v>
      </c>
      <c r="H2" s="8" t="n">
        <v>19</v>
      </c>
      <c r="I2" s="8" t="n">
        <f aca="false">G2*H2</f>
        <v>570</v>
      </c>
      <c r="J2" s="8" t="n">
        <f aca="false">ROUND(I2*Ipoteze!$B$4,2)</f>
        <v>119.7</v>
      </c>
      <c r="K2" s="8" t="n">
        <f aca="false">I2+J2</f>
        <v>689.7</v>
      </c>
    </row>
    <row r="3" customFormat="false" ht="15" hidden="false" customHeight="false" outlineLevel="0" collapsed="false">
      <c r="A3" s="2" t="s">
        <v>76</v>
      </c>
      <c r="B3" s="19" t="n">
        <v>46206</v>
      </c>
      <c r="C3" s="2" t="s">
        <v>466</v>
      </c>
      <c r="D3" s="2" t="s">
        <v>467</v>
      </c>
      <c r="E3" s="2" t="s">
        <v>468</v>
      </c>
      <c r="F3" s="2" t="s">
        <v>97</v>
      </c>
      <c r="G3" s="2" t="n">
        <v>20</v>
      </c>
      <c r="H3" s="8" t="n">
        <v>290</v>
      </c>
      <c r="I3" s="8" t="n">
        <f aca="false">G3*H3</f>
        <v>5800</v>
      </c>
      <c r="J3" s="8" t="n">
        <f aca="false">ROUND(I3*Ipoteze!$B$4,2)</f>
        <v>1218</v>
      </c>
      <c r="K3" s="8" t="n">
        <f aca="false">I3+J3</f>
        <v>7018</v>
      </c>
    </row>
    <row r="4" customFormat="false" ht="15" hidden="false" customHeight="false" outlineLevel="0" collapsed="false">
      <c r="A4" s="2" t="s">
        <v>76</v>
      </c>
      <c r="B4" s="19" t="n">
        <v>46206</v>
      </c>
      <c r="C4" s="2" t="s">
        <v>469</v>
      </c>
      <c r="D4" s="2" t="s">
        <v>470</v>
      </c>
      <c r="E4" s="2" t="s">
        <v>471</v>
      </c>
      <c r="F4" s="2" t="s">
        <v>113</v>
      </c>
      <c r="G4" s="2" t="n">
        <v>10</v>
      </c>
      <c r="H4" s="8" t="n">
        <v>780</v>
      </c>
      <c r="I4" s="8" t="n">
        <f aca="false">G4*H4</f>
        <v>7800</v>
      </c>
      <c r="J4" s="8" t="n">
        <f aca="false">ROUND(I4*Ipoteze!$B$4,2)</f>
        <v>1638</v>
      </c>
      <c r="K4" s="8" t="n">
        <f aca="false">I4+J4</f>
        <v>9438</v>
      </c>
    </row>
    <row r="5" customFormat="false" ht="15" hidden="false" customHeight="false" outlineLevel="0" collapsed="false">
      <c r="A5" s="2" t="s">
        <v>76</v>
      </c>
      <c r="B5" s="19" t="n">
        <v>46209</v>
      </c>
      <c r="C5" s="2" t="s">
        <v>472</v>
      </c>
      <c r="D5" s="2" t="s">
        <v>464</v>
      </c>
      <c r="E5" s="2" t="s">
        <v>473</v>
      </c>
      <c r="F5" s="2" t="s">
        <v>78</v>
      </c>
      <c r="G5" s="2" t="n">
        <v>30</v>
      </c>
      <c r="H5" s="8" t="n">
        <v>85</v>
      </c>
      <c r="I5" s="8" t="n">
        <f aca="false">G5*H5</f>
        <v>2550</v>
      </c>
      <c r="J5" s="8" t="n">
        <f aca="false">ROUND(I5*Ipoteze!$B$4,2)</f>
        <v>535.5</v>
      </c>
      <c r="K5" s="8" t="n">
        <f aca="false">I5+J5</f>
        <v>3085.5</v>
      </c>
    </row>
    <row r="6" customFormat="false" ht="15" hidden="false" customHeight="false" outlineLevel="0" collapsed="false">
      <c r="A6" s="2" t="s">
        <v>76</v>
      </c>
      <c r="B6" s="19" t="n">
        <v>46210</v>
      </c>
      <c r="C6" s="2" t="s">
        <v>474</v>
      </c>
      <c r="D6" s="2" t="s">
        <v>467</v>
      </c>
      <c r="E6" s="2" t="s">
        <v>475</v>
      </c>
      <c r="F6" s="2" t="s">
        <v>124</v>
      </c>
      <c r="G6" s="2" t="n">
        <v>10</v>
      </c>
      <c r="H6" s="8" t="n">
        <v>18</v>
      </c>
      <c r="I6" s="8" t="n">
        <f aca="false">G6*H6</f>
        <v>180</v>
      </c>
      <c r="J6" s="8" t="n">
        <f aca="false">ROUND(I6*Ipoteze!$B$4,2)</f>
        <v>37.8</v>
      </c>
      <c r="K6" s="8" t="n">
        <f aca="false">I6+J6</f>
        <v>217.8</v>
      </c>
    </row>
    <row r="7" customFormat="false" ht="15" hidden="false" customHeight="false" outlineLevel="0" collapsed="false">
      <c r="A7" s="2" t="s">
        <v>76</v>
      </c>
      <c r="B7" s="19" t="n">
        <v>46211</v>
      </c>
      <c r="C7" s="2" t="s">
        <v>476</v>
      </c>
      <c r="D7" s="2" t="s">
        <v>470</v>
      </c>
      <c r="E7" s="2" t="s">
        <v>477</v>
      </c>
      <c r="F7" s="2" t="s">
        <v>130</v>
      </c>
      <c r="G7" s="2" t="n">
        <v>30</v>
      </c>
      <c r="H7" s="8" t="n">
        <v>190</v>
      </c>
      <c r="I7" s="8" t="n">
        <f aca="false">G7*H7</f>
        <v>5700</v>
      </c>
      <c r="J7" s="8" t="n">
        <f aca="false">ROUND(I7*Ipoteze!$B$4,2)</f>
        <v>1197</v>
      </c>
      <c r="K7" s="8" t="n">
        <f aca="false">I7+J7</f>
        <v>6897</v>
      </c>
    </row>
    <row r="8" customFormat="false" ht="15" hidden="false" customHeight="false" outlineLevel="0" collapsed="false">
      <c r="A8" s="2" t="s">
        <v>76</v>
      </c>
      <c r="B8" s="19" t="n">
        <v>46213</v>
      </c>
      <c r="C8" s="2" t="s">
        <v>478</v>
      </c>
      <c r="D8" s="2" t="s">
        <v>464</v>
      </c>
      <c r="E8" s="2" t="s">
        <v>479</v>
      </c>
      <c r="F8" s="2" t="s">
        <v>86</v>
      </c>
      <c r="G8" s="2" t="n">
        <v>20</v>
      </c>
      <c r="H8" s="8" t="n">
        <v>22</v>
      </c>
      <c r="I8" s="8" t="n">
        <f aca="false">G8*H8</f>
        <v>440</v>
      </c>
      <c r="J8" s="8" t="n">
        <f aca="false">ROUND(I8*Ipoteze!$B$4,2)</f>
        <v>92.4</v>
      </c>
      <c r="K8" s="8" t="n">
        <f aca="false">I8+J8</f>
        <v>532.4</v>
      </c>
    </row>
    <row r="9" customFormat="false" ht="15" hidden="false" customHeight="false" outlineLevel="0" collapsed="false">
      <c r="A9" s="2" t="s">
        <v>76</v>
      </c>
      <c r="B9" s="19" t="n">
        <v>46213</v>
      </c>
      <c r="C9" s="2" t="s">
        <v>478</v>
      </c>
      <c r="D9" s="2" t="s">
        <v>464</v>
      </c>
      <c r="E9" s="2" t="s">
        <v>480</v>
      </c>
      <c r="F9" s="2" t="s">
        <v>89</v>
      </c>
      <c r="G9" s="2" t="n">
        <v>30</v>
      </c>
      <c r="H9" s="8" t="n">
        <v>9</v>
      </c>
      <c r="I9" s="8" t="n">
        <f aca="false">G9*H9</f>
        <v>270</v>
      </c>
      <c r="J9" s="8" t="n">
        <f aca="false">ROUND(I9*Ipoteze!$B$4,2)</f>
        <v>56.7</v>
      </c>
      <c r="K9" s="8" t="n">
        <f aca="false">I9+J9</f>
        <v>326.7</v>
      </c>
    </row>
    <row r="10" customFormat="false" ht="15" hidden="false" customHeight="false" outlineLevel="0" collapsed="false">
      <c r="A10" s="2" t="s">
        <v>76</v>
      </c>
      <c r="B10" s="19" t="n">
        <v>46218</v>
      </c>
      <c r="C10" s="2" t="s">
        <v>481</v>
      </c>
      <c r="D10" s="2" t="s">
        <v>464</v>
      </c>
      <c r="E10" s="2" t="s">
        <v>465</v>
      </c>
      <c r="F10" s="2" t="s">
        <v>94</v>
      </c>
      <c r="G10" s="2" t="n">
        <v>30</v>
      </c>
      <c r="H10" s="8" t="n">
        <v>19</v>
      </c>
      <c r="I10" s="8" t="n">
        <f aca="false">G10*H10</f>
        <v>570</v>
      </c>
      <c r="J10" s="8" t="n">
        <f aca="false">ROUND(I10*Ipoteze!$B$4,2)</f>
        <v>119.7</v>
      </c>
      <c r="K10" s="8" t="n">
        <f aca="false">I10+J10</f>
        <v>689.7</v>
      </c>
    </row>
    <row r="11" customFormat="false" ht="15" hidden="false" customHeight="false" outlineLevel="0" collapsed="false">
      <c r="A11" s="2" t="s">
        <v>76</v>
      </c>
      <c r="B11" s="19" t="n">
        <v>46219</v>
      </c>
      <c r="C11" s="2" t="s">
        <v>482</v>
      </c>
      <c r="D11" s="2" t="s">
        <v>464</v>
      </c>
      <c r="E11" s="2" t="s">
        <v>480</v>
      </c>
      <c r="F11" s="2" t="s">
        <v>89</v>
      </c>
      <c r="G11" s="2" t="n">
        <v>30</v>
      </c>
      <c r="H11" s="8" t="n">
        <v>9</v>
      </c>
      <c r="I11" s="8" t="n">
        <f aca="false">G11*H11</f>
        <v>270</v>
      </c>
      <c r="J11" s="8" t="n">
        <f aca="false">ROUND(I11*Ipoteze!$B$4,2)</f>
        <v>56.7</v>
      </c>
      <c r="K11" s="8" t="n">
        <f aca="false">I11+J11</f>
        <v>326.7</v>
      </c>
    </row>
    <row r="12" customFormat="false" ht="15" hidden="false" customHeight="false" outlineLevel="0" collapsed="false">
      <c r="A12" s="2" t="s">
        <v>76</v>
      </c>
      <c r="B12" s="19" t="n">
        <v>46219</v>
      </c>
      <c r="C12" s="2" t="s">
        <v>482</v>
      </c>
      <c r="D12" s="2" t="s">
        <v>464</v>
      </c>
      <c r="E12" s="2" t="s">
        <v>483</v>
      </c>
      <c r="F12" s="2" t="s">
        <v>101</v>
      </c>
      <c r="G12" s="2" t="n">
        <v>30</v>
      </c>
      <c r="H12" s="8" t="n">
        <v>75</v>
      </c>
      <c r="I12" s="8" t="n">
        <f aca="false">G12*H12</f>
        <v>2250</v>
      </c>
      <c r="J12" s="8" t="n">
        <f aca="false">ROUND(I12*Ipoteze!$B$4,2)</f>
        <v>472.5</v>
      </c>
      <c r="K12" s="8" t="n">
        <f aca="false">I12+J12</f>
        <v>2722.5</v>
      </c>
    </row>
    <row r="13" customFormat="false" ht="15" hidden="false" customHeight="false" outlineLevel="0" collapsed="false">
      <c r="A13" s="2" t="s">
        <v>76</v>
      </c>
      <c r="B13" s="19" t="n">
        <v>46219</v>
      </c>
      <c r="C13" s="2" t="s">
        <v>484</v>
      </c>
      <c r="D13" s="2" t="s">
        <v>485</v>
      </c>
      <c r="E13" s="2" t="s">
        <v>486</v>
      </c>
      <c r="F13" s="2" t="s">
        <v>134</v>
      </c>
      <c r="G13" s="2" t="n">
        <v>10</v>
      </c>
      <c r="H13" s="8" t="n">
        <v>70</v>
      </c>
      <c r="I13" s="8" t="n">
        <f aca="false">G13*H13</f>
        <v>700</v>
      </c>
      <c r="J13" s="8" t="n">
        <f aca="false">ROUND(I13*Ipoteze!$B$4,2)</f>
        <v>147</v>
      </c>
      <c r="K13" s="8" t="n">
        <f aca="false">I13+J13</f>
        <v>847</v>
      </c>
    </row>
    <row r="14" customFormat="false" ht="15" hidden="false" customHeight="false" outlineLevel="0" collapsed="false">
      <c r="A14" s="2" t="s">
        <v>76</v>
      </c>
      <c r="B14" s="19" t="n">
        <v>46220</v>
      </c>
      <c r="C14" s="2" t="s">
        <v>487</v>
      </c>
      <c r="D14" s="2" t="s">
        <v>467</v>
      </c>
      <c r="E14" s="2" t="s">
        <v>468</v>
      </c>
      <c r="F14" s="2" t="s">
        <v>97</v>
      </c>
      <c r="G14" s="2" t="n">
        <v>20</v>
      </c>
      <c r="H14" s="8" t="n">
        <v>290</v>
      </c>
      <c r="I14" s="8" t="n">
        <f aca="false">G14*H14</f>
        <v>5800</v>
      </c>
      <c r="J14" s="8" t="n">
        <f aca="false">ROUND(I14*Ipoteze!$B$4,2)</f>
        <v>1218</v>
      </c>
      <c r="K14" s="8" t="n">
        <f aca="false">I14+J14</f>
        <v>7018</v>
      </c>
    </row>
    <row r="15" customFormat="false" ht="15" hidden="false" customHeight="false" outlineLevel="0" collapsed="false">
      <c r="A15" s="2" t="s">
        <v>76</v>
      </c>
      <c r="B15" s="19" t="n">
        <v>46220</v>
      </c>
      <c r="C15" s="2" t="s">
        <v>488</v>
      </c>
      <c r="D15" s="2" t="s">
        <v>485</v>
      </c>
      <c r="E15" s="2" t="s">
        <v>486</v>
      </c>
      <c r="F15" s="2" t="s">
        <v>134</v>
      </c>
      <c r="G15" s="2" t="n">
        <v>10</v>
      </c>
      <c r="H15" s="8" t="n">
        <v>70</v>
      </c>
      <c r="I15" s="8" t="n">
        <f aca="false">G15*H15</f>
        <v>700</v>
      </c>
      <c r="J15" s="8" t="n">
        <f aca="false">ROUND(I15*Ipoteze!$B$4,2)</f>
        <v>147</v>
      </c>
      <c r="K15" s="8" t="n">
        <f aca="false">I15+J15</f>
        <v>847</v>
      </c>
    </row>
    <row r="16" customFormat="false" ht="15" hidden="false" customHeight="false" outlineLevel="0" collapsed="false">
      <c r="A16" s="2" t="s">
        <v>76</v>
      </c>
      <c r="B16" s="19" t="n">
        <v>46220</v>
      </c>
      <c r="C16" s="2" t="s">
        <v>488</v>
      </c>
      <c r="D16" s="2" t="s">
        <v>485</v>
      </c>
      <c r="E16" s="2" t="s">
        <v>489</v>
      </c>
      <c r="F16" s="2" t="s">
        <v>104</v>
      </c>
      <c r="G16" s="2" t="n">
        <v>15</v>
      </c>
      <c r="H16" s="8" t="n">
        <v>120</v>
      </c>
      <c r="I16" s="8" t="n">
        <f aca="false">G16*H16</f>
        <v>1800</v>
      </c>
      <c r="J16" s="8" t="n">
        <f aca="false">ROUND(I16*Ipoteze!$B$4,2)</f>
        <v>378</v>
      </c>
      <c r="K16" s="8" t="n">
        <f aca="false">I16+J16</f>
        <v>2178</v>
      </c>
    </row>
    <row r="17" customFormat="false" ht="15" hidden="false" customHeight="false" outlineLevel="0" collapsed="false">
      <c r="A17" s="2" t="s">
        <v>76</v>
      </c>
      <c r="B17" s="19" t="n">
        <v>46220</v>
      </c>
      <c r="C17" s="2" t="s">
        <v>490</v>
      </c>
      <c r="D17" s="2" t="s">
        <v>470</v>
      </c>
      <c r="E17" s="2" t="s">
        <v>477</v>
      </c>
      <c r="F17" s="2" t="s">
        <v>130</v>
      </c>
      <c r="G17" s="2" t="n">
        <v>30</v>
      </c>
      <c r="H17" s="8" t="n">
        <v>190</v>
      </c>
      <c r="I17" s="8" t="n">
        <f aca="false">G17*H17</f>
        <v>5700</v>
      </c>
      <c r="J17" s="8" t="n">
        <f aca="false">ROUND(I17*Ipoteze!$B$4,2)</f>
        <v>1197</v>
      </c>
      <c r="K17" s="8" t="n">
        <f aca="false">I17+J17</f>
        <v>6897</v>
      </c>
    </row>
    <row r="18" customFormat="false" ht="15" hidden="false" customHeight="false" outlineLevel="0" collapsed="false">
      <c r="A18" s="2" t="s">
        <v>76</v>
      </c>
      <c r="B18" s="19" t="n">
        <v>46223</v>
      </c>
      <c r="C18" s="2" t="s">
        <v>491</v>
      </c>
      <c r="D18" s="2" t="s">
        <v>470</v>
      </c>
      <c r="E18" s="2" t="s">
        <v>492</v>
      </c>
      <c r="F18" s="2" t="s">
        <v>108</v>
      </c>
      <c r="G18" s="2" t="n">
        <v>25</v>
      </c>
      <c r="H18" s="8" t="n">
        <v>160</v>
      </c>
      <c r="I18" s="8" t="n">
        <f aca="false">G18*H18</f>
        <v>4000</v>
      </c>
      <c r="J18" s="8" t="n">
        <f aca="false">ROUND(I18*Ipoteze!$B$4,2)</f>
        <v>840</v>
      </c>
      <c r="K18" s="8" t="n">
        <f aca="false">I18+J18</f>
        <v>4840</v>
      </c>
    </row>
    <row r="19" customFormat="false" ht="15" hidden="false" customHeight="false" outlineLevel="0" collapsed="false">
      <c r="A19" s="2" t="s">
        <v>76</v>
      </c>
      <c r="B19" s="19" t="n">
        <v>46224</v>
      </c>
      <c r="C19" s="2" t="s">
        <v>493</v>
      </c>
      <c r="D19" s="2" t="s">
        <v>464</v>
      </c>
      <c r="E19" s="2" t="s">
        <v>473</v>
      </c>
      <c r="F19" s="2" t="s">
        <v>78</v>
      </c>
      <c r="G19" s="2" t="n">
        <v>30</v>
      </c>
      <c r="H19" s="8" t="n">
        <v>85</v>
      </c>
      <c r="I19" s="8" t="n">
        <f aca="false">G19*H19</f>
        <v>2550</v>
      </c>
      <c r="J19" s="8" t="n">
        <f aca="false">ROUND(I19*Ipoteze!$B$4,2)</f>
        <v>535.5</v>
      </c>
      <c r="K19" s="8" t="n">
        <f aca="false">I19+J19</f>
        <v>3085.5</v>
      </c>
    </row>
    <row r="20" customFormat="false" ht="15" hidden="false" customHeight="false" outlineLevel="0" collapsed="false">
      <c r="A20" s="2" t="s">
        <v>76</v>
      </c>
      <c r="B20" s="19" t="n">
        <v>46225</v>
      </c>
      <c r="C20" s="2" t="s">
        <v>494</v>
      </c>
      <c r="D20" s="2" t="s">
        <v>485</v>
      </c>
      <c r="E20" s="2" t="s">
        <v>486</v>
      </c>
      <c r="F20" s="2" t="s">
        <v>134</v>
      </c>
      <c r="G20" s="2" t="n">
        <v>10</v>
      </c>
      <c r="H20" s="8" t="n">
        <v>70</v>
      </c>
      <c r="I20" s="8" t="n">
        <f aca="false">G20*H20</f>
        <v>700</v>
      </c>
      <c r="J20" s="8" t="n">
        <f aca="false">ROUND(I20*Ipoteze!$B$4,2)</f>
        <v>147</v>
      </c>
      <c r="K20" s="8" t="n">
        <f aca="false">I20+J20</f>
        <v>847</v>
      </c>
    </row>
    <row r="21" customFormat="false" ht="15" hidden="false" customHeight="false" outlineLevel="0" collapsed="false">
      <c r="A21" s="2" t="s">
        <v>76</v>
      </c>
      <c r="B21" s="19" t="n">
        <v>46225</v>
      </c>
      <c r="C21" s="2" t="s">
        <v>495</v>
      </c>
      <c r="D21" s="2" t="s">
        <v>470</v>
      </c>
      <c r="E21" s="2" t="s">
        <v>496</v>
      </c>
      <c r="F21" s="2" t="s">
        <v>82</v>
      </c>
      <c r="G21" s="2" t="n">
        <v>15</v>
      </c>
      <c r="H21" s="8" t="n">
        <v>45</v>
      </c>
      <c r="I21" s="8" t="n">
        <f aca="false">G21*H21</f>
        <v>675</v>
      </c>
      <c r="J21" s="8" t="n">
        <f aca="false">ROUND(I21*Ipoteze!$B$4,2)</f>
        <v>141.75</v>
      </c>
      <c r="K21" s="8" t="n">
        <f aca="false">I21+J21</f>
        <v>816.75</v>
      </c>
    </row>
    <row r="22" customFormat="false" ht="15" hidden="false" customHeight="false" outlineLevel="0" collapsed="false">
      <c r="A22" s="2" t="s">
        <v>76</v>
      </c>
      <c r="B22" s="19" t="n">
        <v>46226</v>
      </c>
      <c r="C22" s="2" t="s">
        <v>497</v>
      </c>
      <c r="D22" s="2" t="s">
        <v>467</v>
      </c>
      <c r="E22" s="2" t="s">
        <v>475</v>
      </c>
      <c r="F22" s="2" t="s">
        <v>124</v>
      </c>
      <c r="G22" s="2" t="n">
        <v>10</v>
      </c>
      <c r="H22" s="8" t="n">
        <v>18</v>
      </c>
      <c r="I22" s="8" t="n">
        <f aca="false">G22*H22</f>
        <v>180</v>
      </c>
      <c r="J22" s="8" t="n">
        <f aca="false">ROUND(I22*Ipoteze!$B$4,2)</f>
        <v>37.8</v>
      </c>
      <c r="K22" s="8" t="n">
        <f aca="false">I22+J22</f>
        <v>217.8</v>
      </c>
    </row>
    <row r="23" customFormat="false" ht="15" hidden="false" customHeight="false" outlineLevel="0" collapsed="false">
      <c r="A23" s="2" t="s">
        <v>76</v>
      </c>
      <c r="B23" s="19" t="n">
        <v>46226</v>
      </c>
      <c r="C23" s="2" t="s">
        <v>498</v>
      </c>
      <c r="D23" s="2" t="s">
        <v>470</v>
      </c>
      <c r="E23" s="2" t="s">
        <v>471</v>
      </c>
      <c r="F23" s="2" t="s">
        <v>113</v>
      </c>
      <c r="G23" s="2" t="n">
        <v>10</v>
      </c>
      <c r="H23" s="8" t="n">
        <v>780</v>
      </c>
      <c r="I23" s="8" t="n">
        <f aca="false">G23*H23</f>
        <v>7800</v>
      </c>
      <c r="J23" s="8" t="n">
        <f aca="false">ROUND(I23*Ipoteze!$B$4,2)</f>
        <v>1638</v>
      </c>
      <c r="K23" s="8" t="n">
        <f aca="false">I23+J23</f>
        <v>9438</v>
      </c>
    </row>
    <row r="24" customFormat="false" ht="15" hidden="false" customHeight="false" outlineLevel="0" collapsed="false">
      <c r="A24" s="2" t="s">
        <v>76</v>
      </c>
      <c r="B24" s="19" t="n">
        <v>46227</v>
      </c>
      <c r="C24" s="2" t="s">
        <v>499</v>
      </c>
      <c r="D24" s="2" t="s">
        <v>464</v>
      </c>
      <c r="E24" s="2" t="s">
        <v>479</v>
      </c>
      <c r="F24" s="2" t="s">
        <v>86</v>
      </c>
      <c r="G24" s="2" t="n">
        <v>20</v>
      </c>
      <c r="H24" s="8" t="n">
        <v>22</v>
      </c>
      <c r="I24" s="8" t="n">
        <f aca="false">G24*H24</f>
        <v>440</v>
      </c>
      <c r="J24" s="8" t="n">
        <f aca="false">ROUND(I24*Ipoteze!$B$4,2)</f>
        <v>92.4</v>
      </c>
      <c r="K24" s="8" t="n">
        <f aca="false">I24+J24</f>
        <v>532.4</v>
      </c>
    </row>
    <row r="25" customFormat="false" ht="15" hidden="false" customHeight="false" outlineLevel="0" collapsed="false">
      <c r="A25" s="2" t="s">
        <v>76</v>
      </c>
      <c r="B25" s="19" t="n">
        <v>46227</v>
      </c>
      <c r="C25" s="2" t="s">
        <v>500</v>
      </c>
      <c r="D25" s="2" t="s">
        <v>467</v>
      </c>
      <c r="E25" s="2" t="s">
        <v>475</v>
      </c>
      <c r="F25" s="2" t="s">
        <v>124</v>
      </c>
      <c r="G25" s="2" t="n">
        <v>10</v>
      </c>
      <c r="H25" s="8" t="n">
        <v>18</v>
      </c>
      <c r="I25" s="8" t="n">
        <f aca="false">G25*H25</f>
        <v>180</v>
      </c>
      <c r="J25" s="8" t="n">
        <f aca="false">ROUND(I25*Ipoteze!$B$4,2)</f>
        <v>37.8</v>
      </c>
      <c r="K25" s="8" t="n">
        <f aca="false">I25+J25</f>
        <v>217.8</v>
      </c>
    </row>
    <row r="26" customFormat="false" ht="15" hidden="false" customHeight="false" outlineLevel="0" collapsed="false">
      <c r="A26" s="2" t="s">
        <v>76</v>
      </c>
      <c r="B26" s="19" t="n">
        <v>46227</v>
      </c>
      <c r="C26" s="2" t="s">
        <v>501</v>
      </c>
      <c r="D26" s="2" t="s">
        <v>485</v>
      </c>
      <c r="E26" s="2" t="s">
        <v>489</v>
      </c>
      <c r="F26" s="2" t="s">
        <v>104</v>
      </c>
      <c r="G26" s="2" t="n">
        <v>15</v>
      </c>
      <c r="H26" s="8" t="n">
        <v>120</v>
      </c>
      <c r="I26" s="8" t="n">
        <f aca="false">G26*H26</f>
        <v>1800</v>
      </c>
      <c r="J26" s="8" t="n">
        <f aca="false">ROUND(I26*Ipoteze!$B$4,2)</f>
        <v>378</v>
      </c>
      <c r="K26" s="8" t="n">
        <f aca="false">I26+J26</f>
        <v>2178</v>
      </c>
    </row>
    <row r="27" customFormat="false" ht="15" hidden="false" customHeight="false" outlineLevel="0" collapsed="false">
      <c r="A27" s="2" t="s">
        <v>76</v>
      </c>
      <c r="B27" s="19" t="n">
        <v>46227</v>
      </c>
      <c r="C27" s="2" t="s">
        <v>502</v>
      </c>
      <c r="D27" s="2" t="s">
        <v>470</v>
      </c>
      <c r="E27" s="2" t="s">
        <v>471</v>
      </c>
      <c r="F27" s="2" t="s">
        <v>113</v>
      </c>
      <c r="G27" s="2" t="n">
        <v>10</v>
      </c>
      <c r="H27" s="8" t="n">
        <v>780</v>
      </c>
      <c r="I27" s="8" t="n">
        <f aca="false">G27*H27</f>
        <v>7800</v>
      </c>
      <c r="J27" s="8" t="n">
        <f aca="false">ROUND(I27*Ipoteze!$B$4,2)</f>
        <v>1638</v>
      </c>
      <c r="K27" s="8" t="n">
        <f aca="false">I27+J27</f>
        <v>9438</v>
      </c>
    </row>
    <row r="28" customFormat="false" ht="15" hidden="false" customHeight="false" outlineLevel="0" collapsed="false">
      <c r="A28" s="2" t="s">
        <v>76</v>
      </c>
      <c r="B28" s="19" t="n">
        <v>46227</v>
      </c>
      <c r="C28" s="2" t="s">
        <v>502</v>
      </c>
      <c r="D28" s="2" t="s">
        <v>470</v>
      </c>
      <c r="E28" s="2" t="s">
        <v>496</v>
      </c>
      <c r="F28" s="2" t="s">
        <v>82</v>
      </c>
      <c r="G28" s="2" t="n">
        <v>15</v>
      </c>
      <c r="H28" s="8" t="n">
        <v>45</v>
      </c>
      <c r="I28" s="8" t="n">
        <f aca="false">G28*H28</f>
        <v>675</v>
      </c>
      <c r="J28" s="8" t="n">
        <f aca="false">ROUND(I28*Ipoteze!$B$4,2)</f>
        <v>141.75</v>
      </c>
      <c r="K28" s="8" t="n">
        <f aca="false">I28+J28</f>
        <v>816.75</v>
      </c>
    </row>
    <row r="29" customFormat="false" ht="15" hidden="false" customHeight="false" outlineLevel="0" collapsed="false">
      <c r="A29" s="2" t="s">
        <v>76</v>
      </c>
      <c r="B29" s="19" t="n">
        <v>46231</v>
      </c>
      <c r="C29" s="2" t="s">
        <v>503</v>
      </c>
      <c r="D29" s="2" t="s">
        <v>485</v>
      </c>
      <c r="E29" s="2" t="s">
        <v>489</v>
      </c>
      <c r="F29" s="2" t="s">
        <v>104</v>
      </c>
      <c r="G29" s="2" t="n">
        <v>15</v>
      </c>
      <c r="H29" s="8" t="n">
        <v>120</v>
      </c>
      <c r="I29" s="8" t="n">
        <f aca="false">G29*H29</f>
        <v>1800</v>
      </c>
      <c r="J29" s="8" t="n">
        <f aca="false">ROUND(I29*Ipoteze!$B$4,2)</f>
        <v>378</v>
      </c>
      <c r="K29" s="8" t="n">
        <f aca="false">I29+J29</f>
        <v>2178</v>
      </c>
    </row>
    <row r="30" customFormat="false" ht="15" hidden="false" customHeight="false" outlineLevel="0" collapsed="false">
      <c r="A30" s="2" t="s">
        <v>76</v>
      </c>
      <c r="B30" s="19" t="n">
        <v>46232</v>
      </c>
      <c r="C30" s="2" t="s">
        <v>504</v>
      </c>
      <c r="D30" s="2" t="s">
        <v>464</v>
      </c>
      <c r="E30" s="2" t="s">
        <v>483</v>
      </c>
      <c r="F30" s="2" t="s">
        <v>101</v>
      </c>
      <c r="G30" s="2" t="n">
        <v>30</v>
      </c>
      <c r="H30" s="8" t="n">
        <v>75</v>
      </c>
      <c r="I30" s="8" t="n">
        <f aca="false">G30*H30</f>
        <v>2250</v>
      </c>
      <c r="J30" s="8" t="n">
        <f aca="false">ROUND(I30*Ipoteze!$B$4,2)</f>
        <v>472.5</v>
      </c>
      <c r="K30" s="8" t="n">
        <f aca="false">I30+J30</f>
        <v>2722.5</v>
      </c>
    </row>
    <row r="31" customFormat="false" ht="15" hidden="false" customHeight="false" outlineLevel="0" collapsed="false">
      <c r="A31" s="2" t="s">
        <v>76</v>
      </c>
      <c r="B31" s="19" t="n">
        <v>46232</v>
      </c>
      <c r="C31" s="2" t="s">
        <v>505</v>
      </c>
      <c r="D31" s="2" t="s">
        <v>485</v>
      </c>
      <c r="E31" s="2" t="s">
        <v>489</v>
      </c>
      <c r="F31" s="2" t="s">
        <v>104</v>
      </c>
      <c r="G31" s="2" t="n">
        <v>15</v>
      </c>
      <c r="H31" s="8" t="n">
        <v>120</v>
      </c>
      <c r="I31" s="8" t="n">
        <f aca="false">G31*H31</f>
        <v>1800</v>
      </c>
      <c r="J31" s="8" t="n">
        <f aca="false">ROUND(I31*Ipoteze!$B$4,2)</f>
        <v>378</v>
      </c>
      <c r="K31" s="8" t="n">
        <f aca="false">I31+J31</f>
        <v>2178</v>
      </c>
    </row>
    <row r="32" customFormat="false" ht="15" hidden="false" customHeight="false" outlineLevel="0" collapsed="false">
      <c r="A32" s="2" t="s">
        <v>76</v>
      </c>
      <c r="B32" s="19" t="n">
        <v>46233</v>
      </c>
      <c r="C32" s="2" t="s">
        <v>506</v>
      </c>
      <c r="D32" s="2" t="s">
        <v>467</v>
      </c>
      <c r="E32" s="2" t="s">
        <v>468</v>
      </c>
      <c r="F32" s="2" t="s">
        <v>97</v>
      </c>
      <c r="G32" s="2" t="n">
        <v>20</v>
      </c>
      <c r="H32" s="8" t="n">
        <v>290</v>
      </c>
      <c r="I32" s="8" t="n">
        <f aca="false">G32*H32</f>
        <v>5800</v>
      </c>
      <c r="J32" s="8" t="n">
        <f aca="false">ROUND(I32*Ipoteze!$B$4,2)</f>
        <v>1218</v>
      </c>
      <c r="K32" s="8" t="n">
        <f aca="false">I32+J32</f>
        <v>7018</v>
      </c>
    </row>
    <row r="33" customFormat="false" ht="15" hidden="false" customHeight="false" outlineLevel="0" collapsed="false">
      <c r="A33" s="2" t="s">
        <v>76</v>
      </c>
      <c r="B33" s="19" t="n">
        <v>46233</v>
      </c>
      <c r="C33" s="2" t="s">
        <v>507</v>
      </c>
      <c r="D33" s="2" t="s">
        <v>485</v>
      </c>
      <c r="E33" s="2" t="s">
        <v>486</v>
      </c>
      <c r="F33" s="2" t="s">
        <v>134</v>
      </c>
      <c r="G33" s="2" t="n">
        <v>10</v>
      </c>
      <c r="H33" s="8" t="n">
        <v>70</v>
      </c>
      <c r="I33" s="8" t="n">
        <f aca="false">G33*H33</f>
        <v>700</v>
      </c>
      <c r="J33" s="8" t="n">
        <f aca="false">ROUND(I33*Ipoteze!$B$4,2)</f>
        <v>147</v>
      </c>
      <c r="K33" s="8" t="n">
        <f aca="false">I33+J33</f>
        <v>847</v>
      </c>
    </row>
    <row r="34" customFormat="false" ht="15" hidden="false" customHeight="false" outlineLevel="0" collapsed="false">
      <c r="A34" s="2" t="s">
        <v>76</v>
      </c>
      <c r="B34" s="19" t="n">
        <v>46233</v>
      </c>
      <c r="C34" s="2" t="s">
        <v>507</v>
      </c>
      <c r="D34" s="2" t="s">
        <v>485</v>
      </c>
      <c r="E34" s="2" t="s">
        <v>489</v>
      </c>
      <c r="F34" s="2" t="s">
        <v>104</v>
      </c>
      <c r="G34" s="2" t="n">
        <v>15</v>
      </c>
      <c r="H34" s="8" t="n">
        <v>120</v>
      </c>
      <c r="I34" s="8" t="n">
        <f aca="false">G34*H34</f>
        <v>1800</v>
      </c>
      <c r="J34" s="8" t="n">
        <f aca="false">ROUND(I34*Ipoteze!$B$4,2)</f>
        <v>378</v>
      </c>
      <c r="K34" s="8" t="n">
        <f aca="false">I34+J34</f>
        <v>2178</v>
      </c>
    </row>
    <row r="35" customFormat="false" ht="15" hidden="false" customHeight="false" outlineLevel="0" collapsed="false">
      <c r="A35" s="2" t="s">
        <v>76</v>
      </c>
      <c r="B35" s="19" t="n">
        <v>46233</v>
      </c>
      <c r="C35" s="2" t="s">
        <v>508</v>
      </c>
      <c r="D35" s="2" t="s">
        <v>470</v>
      </c>
      <c r="E35" s="2" t="s">
        <v>496</v>
      </c>
      <c r="F35" s="2" t="s">
        <v>82</v>
      </c>
      <c r="G35" s="2" t="n">
        <v>15</v>
      </c>
      <c r="H35" s="8" t="n">
        <v>45</v>
      </c>
      <c r="I35" s="8" t="n">
        <f aca="false">G35*H35</f>
        <v>675</v>
      </c>
      <c r="J35" s="8" t="n">
        <f aca="false">ROUND(I35*Ipoteze!$B$4,2)</f>
        <v>141.75</v>
      </c>
      <c r="K35" s="8" t="n">
        <f aca="false">I35+J35</f>
        <v>816.75</v>
      </c>
    </row>
    <row r="36" customFormat="false" ht="15" hidden="false" customHeight="false" outlineLevel="0" collapsed="false">
      <c r="A36" s="2" t="s">
        <v>76</v>
      </c>
      <c r="B36" s="19" t="n">
        <v>46233</v>
      </c>
      <c r="C36" s="2" t="s">
        <v>508</v>
      </c>
      <c r="D36" s="2" t="s">
        <v>470</v>
      </c>
      <c r="E36" s="2" t="s">
        <v>492</v>
      </c>
      <c r="F36" s="2" t="s">
        <v>108</v>
      </c>
      <c r="G36" s="2" t="n">
        <v>25</v>
      </c>
      <c r="H36" s="8" t="n">
        <v>160</v>
      </c>
      <c r="I36" s="8" t="n">
        <f aca="false">G36*H36</f>
        <v>4000</v>
      </c>
      <c r="J36" s="8" t="n">
        <f aca="false">ROUND(I36*Ipoteze!$B$4,2)</f>
        <v>840</v>
      </c>
      <c r="K36" s="8" t="n">
        <f aca="false">I36+J36</f>
        <v>4840</v>
      </c>
    </row>
    <row r="37" customFormat="false" ht="15" hidden="false" customHeight="false" outlineLevel="0" collapsed="false">
      <c r="A37" s="2" t="s">
        <v>76</v>
      </c>
      <c r="B37" s="19" t="n">
        <v>46234</v>
      </c>
      <c r="C37" s="2" t="s">
        <v>509</v>
      </c>
      <c r="D37" s="2" t="s">
        <v>464</v>
      </c>
      <c r="E37" s="2" t="s">
        <v>480</v>
      </c>
      <c r="F37" s="2" t="s">
        <v>89</v>
      </c>
      <c r="G37" s="2" t="n">
        <v>30</v>
      </c>
      <c r="H37" s="8" t="n">
        <v>9</v>
      </c>
      <c r="I37" s="8" t="n">
        <f aca="false">G37*H37</f>
        <v>270</v>
      </c>
      <c r="J37" s="8" t="n">
        <f aca="false">ROUND(I37*Ipoteze!$B$4,2)</f>
        <v>56.7</v>
      </c>
      <c r="K37" s="8" t="n">
        <f aca="false">I37+J37</f>
        <v>326.7</v>
      </c>
    </row>
    <row r="38" customFormat="false" ht="15" hidden="false" customHeight="false" outlineLevel="0" collapsed="false">
      <c r="A38" s="2" t="s">
        <v>76</v>
      </c>
      <c r="B38" s="19" t="n">
        <v>46234</v>
      </c>
      <c r="C38" s="2" t="s">
        <v>509</v>
      </c>
      <c r="D38" s="2" t="s">
        <v>464</v>
      </c>
      <c r="E38" s="2" t="s">
        <v>483</v>
      </c>
      <c r="F38" s="2" t="s">
        <v>101</v>
      </c>
      <c r="G38" s="2" t="n">
        <v>30</v>
      </c>
      <c r="H38" s="8" t="n">
        <v>75</v>
      </c>
      <c r="I38" s="8" t="n">
        <f aca="false">G38*H38</f>
        <v>2250</v>
      </c>
      <c r="J38" s="8" t="n">
        <f aca="false">ROUND(I38*Ipoteze!$B$4,2)</f>
        <v>472.5</v>
      </c>
      <c r="K38" s="8" t="n">
        <f aca="false">I38+J38</f>
        <v>2722.5</v>
      </c>
    </row>
    <row r="39" customFormat="false" ht="15" hidden="false" customHeight="false" outlineLevel="0" collapsed="false">
      <c r="A39" s="2" t="s">
        <v>76</v>
      </c>
      <c r="B39" s="19" t="n">
        <v>46234</v>
      </c>
      <c r="C39" s="2" t="s">
        <v>509</v>
      </c>
      <c r="D39" s="2" t="s">
        <v>464</v>
      </c>
      <c r="E39" s="2" t="s">
        <v>510</v>
      </c>
      <c r="F39" s="2" t="s">
        <v>91</v>
      </c>
      <c r="G39" s="2" t="n">
        <v>10</v>
      </c>
      <c r="H39" s="8" t="n">
        <v>48</v>
      </c>
      <c r="I39" s="8" t="n">
        <f aca="false">G39*H39</f>
        <v>480</v>
      </c>
      <c r="J39" s="8" t="n">
        <f aca="false">ROUND(I39*Ipoteze!$B$4,2)</f>
        <v>100.8</v>
      </c>
      <c r="K39" s="8" t="n">
        <f aca="false">I39+J39</f>
        <v>580.8</v>
      </c>
    </row>
    <row r="40" customFormat="false" ht="15" hidden="false" customHeight="false" outlineLevel="0" collapsed="false">
      <c r="A40" s="2" t="s">
        <v>76</v>
      </c>
      <c r="B40" s="19" t="n">
        <v>46234</v>
      </c>
      <c r="C40" s="2" t="s">
        <v>511</v>
      </c>
      <c r="D40" s="2" t="s">
        <v>485</v>
      </c>
      <c r="E40" s="2" t="s">
        <v>486</v>
      </c>
      <c r="F40" s="2" t="s">
        <v>134</v>
      </c>
      <c r="G40" s="2" t="n">
        <v>10</v>
      </c>
      <c r="H40" s="8" t="n">
        <v>70</v>
      </c>
      <c r="I40" s="8" t="n">
        <f aca="false">G40*H40</f>
        <v>700</v>
      </c>
      <c r="J40" s="8" t="n">
        <f aca="false">ROUND(I40*Ipoteze!$B$4,2)</f>
        <v>147</v>
      </c>
      <c r="K40" s="8" t="n">
        <f aca="false">I40+J40</f>
        <v>847</v>
      </c>
    </row>
    <row r="41" customFormat="false" ht="15" hidden="false" customHeight="false" outlineLevel="0" collapsed="false">
      <c r="A41" s="2" t="s">
        <v>76</v>
      </c>
      <c r="B41" s="19" t="n">
        <v>46234</v>
      </c>
      <c r="C41" s="2" t="s">
        <v>511</v>
      </c>
      <c r="D41" s="2" t="s">
        <v>485</v>
      </c>
      <c r="E41" s="2" t="s">
        <v>489</v>
      </c>
      <c r="F41" s="2" t="s">
        <v>104</v>
      </c>
      <c r="G41" s="2" t="n">
        <v>15</v>
      </c>
      <c r="H41" s="8" t="n">
        <v>120</v>
      </c>
      <c r="I41" s="8" t="n">
        <f aca="false">G41*H41</f>
        <v>1800</v>
      </c>
      <c r="J41" s="8" t="n">
        <f aca="false">ROUND(I41*Ipoteze!$B$4,2)</f>
        <v>378</v>
      </c>
      <c r="K41" s="8" t="n">
        <f aca="false">I41+J41</f>
        <v>2178</v>
      </c>
    </row>
    <row r="42" customFormat="false" ht="15" hidden="false" customHeight="false" outlineLevel="0" collapsed="false">
      <c r="A42" s="2" t="s">
        <v>76</v>
      </c>
      <c r="B42" s="19" t="n">
        <v>46234</v>
      </c>
      <c r="C42" s="2" t="s">
        <v>512</v>
      </c>
      <c r="D42" s="2" t="s">
        <v>470</v>
      </c>
      <c r="E42" s="2" t="s">
        <v>496</v>
      </c>
      <c r="F42" s="2" t="s">
        <v>82</v>
      </c>
      <c r="G42" s="2" t="n">
        <v>15</v>
      </c>
      <c r="H42" s="8" t="n">
        <v>45</v>
      </c>
      <c r="I42" s="8" t="n">
        <f aca="false">G42*H42</f>
        <v>675</v>
      </c>
      <c r="J42" s="8" t="n">
        <f aca="false">ROUND(I42*Ipoteze!$B$4,2)</f>
        <v>141.75</v>
      </c>
      <c r="K42" s="8" t="n">
        <f aca="false">I42+J42</f>
        <v>816.75</v>
      </c>
    </row>
    <row r="43" customFormat="false" ht="15" hidden="false" customHeight="false" outlineLevel="0" collapsed="false">
      <c r="A43" s="2" t="s">
        <v>224</v>
      </c>
      <c r="B43" s="19" t="n">
        <v>46238</v>
      </c>
      <c r="C43" s="2" t="s">
        <v>513</v>
      </c>
      <c r="D43" s="2" t="s">
        <v>464</v>
      </c>
      <c r="E43" s="2" t="s">
        <v>465</v>
      </c>
      <c r="F43" s="2" t="s">
        <v>94</v>
      </c>
      <c r="G43" s="2" t="n">
        <v>10</v>
      </c>
      <c r="H43" s="8" t="n">
        <v>19</v>
      </c>
      <c r="I43" s="8" t="n">
        <f aca="false">G43*H43</f>
        <v>190</v>
      </c>
      <c r="J43" s="8" t="n">
        <f aca="false">ROUND(I43*Ipoteze!$B$4,2)</f>
        <v>39.9</v>
      </c>
      <c r="K43" s="8" t="n">
        <f aca="false">I43+J43</f>
        <v>229.9</v>
      </c>
    </row>
    <row r="44" customFormat="false" ht="15" hidden="false" customHeight="false" outlineLevel="0" collapsed="false">
      <c r="A44" s="2" t="s">
        <v>224</v>
      </c>
      <c r="B44" s="19" t="n">
        <v>46238</v>
      </c>
      <c r="C44" s="2" t="s">
        <v>514</v>
      </c>
      <c r="D44" s="2" t="s">
        <v>467</v>
      </c>
      <c r="E44" s="2" t="s">
        <v>468</v>
      </c>
      <c r="F44" s="2" t="s">
        <v>97</v>
      </c>
      <c r="G44" s="2" t="n">
        <v>20</v>
      </c>
      <c r="H44" s="8" t="n">
        <v>290</v>
      </c>
      <c r="I44" s="8" t="n">
        <f aca="false">G44*H44</f>
        <v>5800</v>
      </c>
      <c r="J44" s="8" t="n">
        <f aca="false">ROUND(I44*Ipoteze!$B$4,2)</f>
        <v>1218</v>
      </c>
      <c r="K44" s="8" t="n">
        <f aca="false">I44+J44</f>
        <v>7018</v>
      </c>
    </row>
    <row r="45" customFormat="false" ht="15" hidden="false" customHeight="false" outlineLevel="0" collapsed="false">
      <c r="A45" s="2" t="s">
        <v>224</v>
      </c>
      <c r="B45" s="19" t="n">
        <v>46238</v>
      </c>
      <c r="C45" s="2" t="s">
        <v>515</v>
      </c>
      <c r="D45" s="2" t="s">
        <v>485</v>
      </c>
      <c r="E45" s="2" t="s">
        <v>486</v>
      </c>
      <c r="F45" s="2" t="s">
        <v>134</v>
      </c>
      <c r="G45" s="2" t="n">
        <v>40</v>
      </c>
      <c r="H45" s="8" t="n">
        <v>70</v>
      </c>
      <c r="I45" s="8" t="n">
        <f aca="false">G45*H45</f>
        <v>2800</v>
      </c>
      <c r="J45" s="8" t="n">
        <f aca="false">ROUND(I45*Ipoteze!$B$4,2)</f>
        <v>588</v>
      </c>
      <c r="K45" s="8" t="n">
        <f aca="false">I45+J45</f>
        <v>3388</v>
      </c>
    </row>
    <row r="46" customFormat="false" ht="15" hidden="false" customHeight="false" outlineLevel="0" collapsed="false">
      <c r="A46" s="2" t="s">
        <v>224</v>
      </c>
      <c r="B46" s="19" t="n">
        <v>46239</v>
      </c>
      <c r="C46" s="2" t="s">
        <v>516</v>
      </c>
      <c r="D46" s="2" t="s">
        <v>464</v>
      </c>
      <c r="E46" s="2" t="s">
        <v>465</v>
      </c>
      <c r="F46" s="2" t="s">
        <v>94</v>
      </c>
      <c r="G46" s="2" t="n">
        <v>10</v>
      </c>
      <c r="H46" s="8" t="n">
        <v>19</v>
      </c>
      <c r="I46" s="8" t="n">
        <f aca="false">G46*H46</f>
        <v>190</v>
      </c>
      <c r="J46" s="8" t="n">
        <f aca="false">ROUND(I46*Ipoteze!$B$4,2)</f>
        <v>39.9</v>
      </c>
      <c r="K46" s="8" t="n">
        <f aca="false">I46+J46</f>
        <v>229.9</v>
      </c>
    </row>
    <row r="47" customFormat="false" ht="15" hidden="false" customHeight="false" outlineLevel="0" collapsed="false">
      <c r="A47" s="2" t="s">
        <v>224</v>
      </c>
      <c r="B47" s="19" t="n">
        <v>46239</v>
      </c>
      <c r="C47" s="2" t="s">
        <v>517</v>
      </c>
      <c r="D47" s="2" t="s">
        <v>470</v>
      </c>
      <c r="E47" s="2" t="s">
        <v>492</v>
      </c>
      <c r="F47" s="2" t="s">
        <v>108</v>
      </c>
      <c r="G47" s="2" t="n">
        <v>30</v>
      </c>
      <c r="H47" s="8" t="n">
        <v>160</v>
      </c>
      <c r="I47" s="8" t="n">
        <f aca="false">G47*H47</f>
        <v>4800</v>
      </c>
      <c r="J47" s="8" t="n">
        <f aca="false">ROUND(I47*Ipoteze!$B$4,2)</f>
        <v>1008</v>
      </c>
      <c r="K47" s="8" t="n">
        <f aca="false">I47+J47</f>
        <v>5808</v>
      </c>
    </row>
    <row r="48" customFormat="false" ht="15" hidden="false" customHeight="false" outlineLevel="0" collapsed="false">
      <c r="A48" s="2" t="s">
        <v>224</v>
      </c>
      <c r="B48" s="19" t="n">
        <v>46241</v>
      </c>
      <c r="C48" s="2" t="s">
        <v>518</v>
      </c>
      <c r="D48" s="2" t="s">
        <v>470</v>
      </c>
      <c r="E48" s="2" t="s">
        <v>477</v>
      </c>
      <c r="F48" s="2" t="s">
        <v>130</v>
      </c>
      <c r="G48" s="2" t="n">
        <v>10</v>
      </c>
      <c r="H48" s="8" t="n">
        <v>190</v>
      </c>
      <c r="I48" s="8" t="n">
        <f aca="false">G48*H48</f>
        <v>1900</v>
      </c>
      <c r="J48" s="8" t="n">
        <f aca="false">ROUND(I48*Ipoteze!$B$4,2)</f>
        <v>399</v>
      </c>
      <c r="K48" s="8" t="n">
        <f aca="false">I48+J48</f>
        <v>2299</v>
      </c>
    </row>
    <row r="49" customFormat="false" ht="15" hidden="false" customHeight="false" outlineLevel="0" collapsed="false">
      <c r="A49" s="2" t="s">
        <v>224</v>
      </c>
      <c r="B49" s="19" t="n">
        <v>46244</v>
      </c>
      <c r="C49" s="2" t="s">
        <v>519</v>
      </c>
      <c r="D49" s="2" t="s">
        <v>470</v>
      </c>
      <c r="E49" s="2" t="s">
        <v>492</v>
      </c>
      <c r="F49" s="2" t="s">
        <v>108</v>
      </c>
      <c r="G49" s="2" t="n">
        <v>30</v>
      </c>
      <c r="H49" s="8" t="n">
        <v>160</v>
      </c>
      <c r="I49" s="8" t="n">
        <f aca="false">G49*H49</f>
        <v>4800</v>
      </c>
      <c r="J49" s="8" t="n">
        <f aca="false">ROUND(I49*Ipoteze!$B$4,2)</f>
        <v>1008</v>
      </c>
      <c r="K49" s="8" t="n">
        <f aca="false">I49+J49</f>
        <v>5808</v>
      </c>
    </row>
    <row r="50" customFormat="false" ht="15" hidden="false" customHeight="false" outlineLevel="0" collapsed="false">
      <c r="A50" s="2" t="s">
        <v>224</v>
      </c>
      <c r="B50" s="19" t="n">
        <v>46244</v>
      </c>
      <c r="C50" s="2" t="s">
        <v>519</v>
      </c>
      <c r="D50" s="2" t="s">
        <v>470</v>
      </c>
      <c r="E50" s="2" t="s">
        <v>477</v>
      </c>
      <c r="F50" s="2" t="s">
        <v>130</v>
      </c>
      <c r="G50" s="2" t="n">
        <v>10</v>
      </c>
      <c r="H50" s="8" t="n">
        <v>190</v>
      </c>
      <c r="I50" s="8" t="n">
        <f aca="false">G50*H50</f>
        <v>1900</v>
      </c>
      <c r="J50" s="8" t="n">
        <f aca="false">ROUND(I50*Ipoteze!$B$4,2)</f>
        <v>399</v>
      </c>
      <c r="K50" s="8" t="n">
        <f aca="false">I50+J50</f>
        <v>2299</v>
      </c>
    </row>
    <row r="51" customFormat="false" ht="15" hidden="false" customHeight="false" outlineLevel="0" collapsed="false">
      <c r="A51" s="2" t="s">
        <v>224</v>
      </c>
      <c r="B51" s="19" t="n">
        <v>46245</v>
      </c>
      <c r="C51" s="2" t="s">
        <v>520</v>
      </c>
      <c r="D51" s="2" t="s">
        <v>464</v>
      </c>
      <c r="E51" s="2" t="s">
        <v>479</v>
      </c>
      <c r="F51" s="2" t="s">
        <v>86</v>
      </c>
      <c r="G51" s="2" t="n">
        <v>20</v>
      </c>
      <c r="H51" s="8" t="n">
        <v>22</v>
      </c>
      <c r="I51" s="8" t="n">
        <f aca="false">G51*H51</f>
        <v>440</v>
      </c>
      <c r="J51" s="8" t="n">
        <f aca="false">ROUND(I51*Ipoteze!$B$4,2)</f>
        <v>92.4</v>
      </c>
      <c r="K51" s="8" t="n">
        <f aca="false">I51+J51</f>
        <v>532.4</v>
      </c>
    </row>
    <row r="52" customFormat="false" ht="15" hidden="false" customHeight="false" outlineLevel="0" collapsed="false">
      <c r="A52" s="2" t="s">
        <v>224</v>
      </c>
      <c r="B52" s="19" t="n">
        <v>46245</v>
      </c>
      <c r="C52" s="2" t="s">
        <v>521</v>
      </c>
      <c r="D52" s="2" t="s">
        <v>485</v>
      </c>
      <c r="E52" s="2" t="s">
        <v>486</v>
      </c>
      <c r="F52" s="2" t="s">
        <v>134</v>
      </c>
      <c r="G52" s="2" t="n">
        <v>40</v>
      </c>
      <c r="H52" s="8" t="n">
        <v>70</v>
      </c>
      <c r="I52" s="8" t="n">
        <f aca="false">G52*H52</f>
        <v>2800</v>
      </c>
      <c r="J52" s="8" t="n">
        <f aca="false">ROUND(I52*Ipoteze!$B$4,2)</f>
        <v>588</v>
      </c>
      <c r="K52" s="8" t="n">
        <f aca="false">I52+J52</f>
        <v>3388</v>
      </c>
    </row>
    <row r="53" customFormat="false" ht="15" hidden="false" customHeight="false" outlineLevel="0" collapsed="false">
      <c r="A53" s="2" t="s">
        <v>224</v>
      </c>
      <c r="B53" s="19" t="n">
        <v>46246</v>
      </c>
      <c r="C53" s="2" t="s">
        <v>522</v>
      </c>
      <c r="D53" s="2" t="s">
        <v>464</v>
      </c>
      <c r="E53" s="2" t="s">
        <v>510</v>
      </c>
      <c r="F53" s="2" t="s">
        <v>91</v>
      </c>
      <c r="G53" s="2" t="n">
        <v>10</v>
      </c>
      <c r="H53" s="8" t="n">
        <v>48</v>
      </c>
      <c r="I53" s="8" t="n">
        <f aca="false">G53*H53</f>
        <v>480</v>
      </c>
      <c r="J53" s="8" t="n">
        <f aca="false">ROUND(I53*Ipoteze!$B$4,2)</f>
        <v>100.8</v>
      </c>
      <c r="K53" s="8" t="n">
        <f aca="false">I53+J53</f>
        <v>580.8</v>
      </c>
    </row>
    <row r="54" customFormat="false" ht="15" hidden="false" customHeight="false" outlineLevel="0" collapsed="false">
      <c r="A54" s="2" t="s">
        <v>224</v>
      </c>
      <c r="B54" s="19" t="n">
        <v>46247</v>
      </c>
      <c r="C54" s="2" t="s">
        <v>523</v>
      </c>
      <c r="D54" s="2" t="s">
        <v>464</v>
      </c>
      <c r="E54" s="2" t="s">
        <v>483</v>
      </c>
      <c r="F54" s="2" t="s">
        <v>101</v>
      </c>
      <c r="G54" s="2" t="n">
        <v>35</v>
      </c>
      <c r="H54" s="8" t="n">
        <v>75</v>
      </c>
      <c r="I54" s="8" t="n">
        <f aca="false">G54*H54</f>
        <v>2625</v>
      </c>
      <c r="J54" s="8" t="n">
        <f aca="false">ROUND(I54*Ipoteze!$B$4,2)</f>
        <v>551.25</v>
      </c>
      <c r="K54" s="8" t="n">
        <f aca="false">I54+J54</f>
        <v>3176.25</v>
      </c>
    </row>
    <row r="55" customFormat="false" ht="15" hidden="false" customHeight="false" outlineLevel="0" collapsed="false">
      <c r="A55" s="2" t="s">
        <v>224</v>
      </c>
      <c r="B55" s="19" t="n">
        <v>46247</v>
      </c>
      <c r="C55" s="2" t="s">
        <v>523</v>
      </c>
      <c r="D55" s="2" t="s">
        <v>464</v>
      </c>
      <c r="E55" s="2" t="s">
        <v>510</v>
      </c>
      <c r="F55" s="2" t="s">
        <v>91</v>
      </c>
      <c r="G55" s="2" t="n">
        <v>10</v>
      </c>
      <c r="H55" s="8" t="n">
        <v>48</v>
      </c>
      <c r="I55" s="8" t="n">
        <f aca="false">G55*H55</f>
        <v>480</v>
      </c>
      <c r="J55" s="8" t="n">
        <f aca="false">ROUND(I55*Ipoteze!$B$4,2)</f>
        <v>100.8</v>
      </c>
      <c r="K55" s="8" t="n">
        <f aca="false">I55+J55</f>
        <v>580.8</v>
      </c>
    </row>
    <row r="56" customFormat="false" ht="15" hidden="false" customHeight="false" outlineLevel="0" collapsed="false">
      <c r="A56" s="2" t="s">
        <v>224</v>
      </c>
      <c r="B56" s="19" t="n">
        <v>46248</v>
      </c>
      <c r="C56" s="2" t="s">
        <v>524</v>
      </c>
      <c r="D56" s="2" t="s">
        <v>464</v>
      </c>
      <c r="E56" s="2" t="s">
        <v>480</v>
      </c>
      <c r="F56" s="2" t="s">
        <v>89</v>
      </c>
      <c r="G56" s="2" t="n">
        <v>30</v>
      </c>
      <c r="H56" s="8" t="n">
        <v>9</v>
      </c>
      <c r="I56" s="8" t="n">
        <f aca="false">G56*H56</f>
        <v>270</v>
      </c>
      <c r="J56" s="8" t="n">
        <f aca="false">ROUND(I56*Ipoteze!$B$4,2)</f>
        <v>56.7</v>
      </c>
      <c r="K56" s="8" t="n">
        <f aca="false">I56+J56</f>
        <v>326.7</v>
      </c>
    </row>
    <row r="57" customFormat="false" ht="15" hidden="false" customHeight="false" outlineLevel="0" collapsed="false">
      <c r="A57" s="2" t="s">
        <v>224</v>
      </c>
      <c r="B57" s="19" t="n">
        <v>46251</v>
      </c>
      <c r="C57" s="2" t="s">
        <v>525</v>
      </c>
      <c r="D57" s="2" t="s">
        <v>485</v>
      </c>
      <c r="E57" s="2" t="s">
        <v>486</v>
      </c>
      <c r="F57" s="2" t="s">
        <v>134</v>
      </c>
      <c r="G57" s="2" t="n">
        <v>40</v>
      </c>
      <c r="H57" s="8" t="n">
        <v>70</v>
      </c>
      <c r="I57" s="8" t="n">
        <f aca="false">G57*H57</f>
        <v>2800</v>
      </c>
      <c r="J57" s="8" t="n">
        <f aca="false">ROUND(I57*Ipoteze!$B$4,2)</f>
        <v>588</v>
      </c>
      <c r="K57" s="8" t="n">
        <f aca="false">I57+J57</f>
        <v>3388</v>
      </c>
    </row>
    <row r="58" customFormat="false" ht="15" hidden="false" customHeight="false" outlineLevel="0" collapsed="false">
      <c r="A58" s="2" t="s">
        <v>224</v>
      </c>
      <c r="B58" s="19" t="n">
        <v>46252</v>
      </c>
      <c r="C58" s="2" t="s">
        <v>526</v>
      </c>
      <c r="D58" s="2" t="s">
        <v>464</v>
      </c>
      <c r="E58" s="2" t="s">
        <v>479</v>
      </c>
      <c r="F58" s="2" t="s">
        <v>86</v>
      </c>
      <c r="G58" s="2" t="n">
        <v>20</v>
      </c>
      <c r="H58" s="8" t="n">
        <v>22</v>
      </c>
      <c r="I58" s="8" t="n">
        <f aca="false">G58*H58</f>
        <v>440</v>
      </c>
      <c r="J58" s="8" t="n">
        <f aca="false">ROUND(I58*Ipoteze!$B$4,2)</f>
        <v>92.4</v>
      </c>
      <c r="K58" s="8" t="n">
        <f aca="false">I58+J58</f>
        <v>532.4</v>
      </c>
    </row>
    <row r="59" customFormat="false" ht="15" hidden="false" customHeight="false" outlineLevel="0" collapsed="false">
      <c r="A59" s="2" t="s">
        <v>224</v>
      </c>
      <c r="B59" s="19" t="n">
        <v>46252</v>
      </c>
      <c r="C59" s="2" t="s">
        <v>527</v>
      </c>
      <c r="D59" s="2" t="s">
        <v>470</v>
      </c>
      <c r="E59" s="2" t="s">
        <v>496</v>
      </c>
      <c r="F59" s="2" t="s">
        <v>82</v>
      </c>
      <c r="G59" s="2" t="n">
        <v>30</v>
      </c>
      <c r="H59" s="8" t="n">
        <v>45</v>
      </c>
      <c r="I59" s="8" t="n">
        <f aca="false">G59*H59</f>
        <v>1350</v>
      </c>
      <c r="J59" s="8" t="n">
        <f aca="false">ROUND(I59*Ipoteze!$B$4,2)</f>
        <v>283.5</v>
      </c>
      <c r="K59" s="8" t="n">
        <f aca="false">I59+J59</f>
        <v>1633.5</v>
      </c>
    </row>
    <row r="60" customFormat="false" ht="15" hidden="false" customHeight="false" outlineLevel="0" collapsed="false">
      <c r="A60" s="2" t="s">
        <v>224</v>
      </c>
      <c r="B60" s="19" t="n">
        <v>46255</v>
      </c>
      <c r="C60" s="2" t="s">
        <v>528</v>
      </c>
      <c r="D60" s="2" t="s">
        <v>464</v>
      </c>
      <c r="E60" s="2" t="s">
        <v>483</v>
      </c>
      <c r="F60" s="2" t="s">
        <v>101</v>
      </c>
      <c r="G60" s="2" t="n">
        <v>35</v>
      </c>
      <c r="H60" s="8" t="n">
        <v>75</v>
      </c>
      <c r="I60" s="8" t="n">
        <f aca="false">G60*H60</f>
        <v>2625</v>
      </c>
      <c r="J60" s="8" t="n">
        <f aca="false">ROUND(I60*Ipoteze!$B$4,2)</f>
        <v>551.25</v>
      </c>
      <c r="K60" s="8" t="n">
        <f aca="false">I60+J60</f>
        <v>3176.25</v>
      </c>
    </row>
    <row r="61" customFormat="false" ht="15" hidden="false" customHeight="false" outlineLevel="0" collapsed="false">
      <c r="A61" s="2" t="s">
        <v>224</v>
      </c>
      <c r="B61" s="19" t="n">
        <v>46255</v>
      </c>
      <c r="C61" s="2" t="s">
        <v>529</v>
      </c>
      <c r="D61" s="2" t="s">
        <v>467</v>
      </c>
      <c r="E61" s="2" t="s">
        <v>475</v>
      </c>
      <c r="F61" s="2" t="s">
        <v>124</v>
      </c>
      <c r="G61" s="2" t="n">
        <v>10</v>
      </c>
      <c r="H61" s="8" t="n">
        <v>18</v>
      </c>
      <c r="I61" s="8" t="n">
        <f aca="false">G61*H61</f>
        <v>180</v>
      </c>
      <c r="J61" s="8" t="n">
        <f aca="false">ROUND(I61*Ipoteze!$B$4,2)</f>
        <v>37.8</v>
      </c>
      <c r="K61" s="8" t="n">
        <f aca="false">I61+J61</f>
        <v>217.8</v>
      </c>
    </row>
    <row r="62" customFormat="false" ht="15" hidden="false" customHeight="false" outlineLevel="0" collapsed="false">
      <c r="A62" s="2" t="s">
        <v>224</v>
      </c>
      <c r="B62" s="19" t="n">
        <v>46255</v>
      </c>
      <c r="C62" s="2" t="s">
        <v>530</v>
      </c>
      <c r="D62" s="2" t="s">
        <v>470</v>
      </c>
      <c r="E62" s="2" t="s">
        <v>496</v>
      </c>
      <c r="F62" s="2" t="s">
        <v>82</v>
      </c>
      <c r="G62" s="2" t="n">
        <v>30</v>
      </c>
      <c r="H62" s="8" t="n">
        <v>45</v>
      </c>
      <c r="I62" s="8" t="n">
        <f aca="false">G62*H62</f>
        <v>1350</v>
      </c>
      <c r="J62" s="8" t="n">
        <f aca="false">ROUND(I62*Ipoteze!$B$4,2)</f>
        <v>283.5</v>
      </c>
      <c r="K62" s="8" t="n">
        <f aca="false">I62+J62</f>
        <v>1633.5</v>
      </c>
    </row>
    <row r="63" customFormat="false" ht="15" hidden="false" customHeight="false" outlineLevel="0" collapsed="false">
      <c r="A63" s="2" t="s">
        <v>224</v>
      </c>
      <c r="B63" s="19" t="n">
        <v>46258</v>
      </c>
      <c r="C63" s="2" t="s">
        <v>531</v>
      </c>
      <c r="D63" s="2" t="s">
        <v>467</v>
      </c>
      <c r="E63" s="2" t="s">
        <v>475</v>
      </c>
      <c r="F63" s="2" t="s">
        <v>124</v>
      </c>
      <c r="G63" s="2" t="n">
        <v>10</v>
      </c>
      <c r="H63" s="8" t="n">
        <v>18</v>
      </c>
      <c r="I63" s="8" t="n">
        <f aca="false">G63*H63</f>
        <v>180</v>
      </c>
      <c r="J63" s="8" t="n">
        <f aca="false">ROUND(I63*Ipoteze!$B$4,2)</f>
        <v>37.8</v>
      </c>
      <c r="K63" s="8" t="n">
        <f aca="false">I63+J63</f>
        <v>217.8</v>
      </c>
    </row>
    <row r="64" customFormat="false" ht="15" hidden="false" customHeight="false" outlineLevel="0" collapsed="false">
      <c r="A64" s="2" t="s">
        <v>224</v>
      </c>
      <c r="B64" s="19" t="n">
        <v>46258</v>
      </c>
      <c r="C64" s="2" t="s">
        <v>532</v>
      </c>
      <c r="D64" s="2" t="s">
        <v>470</v>
      </c>
      <c r="E64" s="2" t="s">
        <v>492</v>
      </c>
      <c r="F64" s="2" t="s">
        <v>108</v>
      </c>
      <c r="G64" s="2" t="n">
        <v>30</v>
      </c>
      <c r="H64" s="8" t="n">
        <v>160</v>
      </c>
      <c r="I64" s="8" t="n">
        <f aca="false">G64*H64</f>
        <v>4800</v>
      </c>
      <c r="J64" s="8" t="n">
        <f aca="false">ROUND(I64*Ipoteze!$B$4,2)</f>
        <v>1008</v>
      </c>
      <c r="K64" s="8" t="n">
        <f aca="false">I64+J64</f>
        <v>5808</v>
      </c>
    </row>
    <row r="65" customFormat="false" ht="15" hidden="false" customHeight="false" outlineLevel="0" collapsed="false">
      <c r="A65" s="2" t="s">
        <v>224</v>
      </c>
      <c r="B65" s="19" t="n">
        <v>46259</v>
      </c>
      <c r="C65" s="2" t="s">
        <v>533</v>
      </c>
      <c r="D65" s="2" t="s">
        <v>467</v>
      </c>
      <c r="E65" s="2" t="s">
        <v>475</v>
      </c>
      <c r="F65" s="2" t="s">
        <v>124</v>
      </c>
      <c r="G65" s="2" t="n">
        <v>10</v>
      </c>
      <c r="H65" s="8" t="n">
        <v>18</v>
      </c>
      <c r="I65" s="8" t="n">
        <f aca="false">G65*H65</f>
        <v>180</v>
      </c>
      <c r="J65" s="8" t="n">
        <f aca="false">ROUND(I65*Ipoteze!$B$4,2)</f>
        <v>37.8</v>
      </c>
      <c r="K65" s="8" t="n">
        <f aca="false">I65+J65</f>
        <v>217.8</v>
      </c>
    </row>
    <row r="66" customFormat="false" ht="15" hidden="false" customHeight="false" outlineLevel="0" collapsed="false">
      <c r="A66" s="2" t="s">
        <v>224</v>
      </c>
      <c r="B66" s="19" t="n">
        <v>46260</v>
      </c>
      <c r="C66" s="2" t="s">
        <v>534</v>
      </c>
      <c r="D66" s="2" t="s">
        <v>464</v>
      </c>
      <c r="E66" s="2" t="s">
        <v>473</v>
      </c>
      <c r="F66" s="2" t="s">
        <v>78</v>
      </c>
      <c r="G66" s="2" t="n">
        <v>10</v>
      </c>
      <c r="H66" s="8" t="n">
        <v>85</v>
      </c>
      <c r="I66" s="8" t="n">
        <f aca="false">G66*H66</f>
        <v>850</v>
      </c>
      <c r="J66" s="8" t="n">
        <f aca="false">ROUND(I66*Ipoteze!$B$4,2)</f>
        <v>178.5</v>
      </c>
      <c r="K66" s="8" t="n">
        <f aca="false">I66+J66</f>
        <v>1028.5</v>
      </c>
    </row>
    <row r="67" customFormat="false" ht="15" hidden="false" customHeight="false" outlineLevel="0" collapsed="false">
      <c r="A67" s="2" t="s">
        <v>224</v>
      </c>
      <c r="B67" s="19" t="n">
        <v>46260</v>
      </c>
      <c r="C67" s="2" t="s">
        <v>534</v>
      </c>
      <c r="D67" s="2" t="s">
        <v>464</v>
      </c>
      <c r="E67" s="2" t="s">
        <v>465</v>
      </c>
      <c r="F67" s="2" t="s">
        <v>94</v>
      </c>
      <c r="G67" s="2" t="n">
        <v>10</v>
      </c>
      <c r="H67" s="8" t="n">
        <v>19</v>
      </c>
      <c r="I67" s="8" t="n">
        <f aca="false">G67*H67</f>
        <v>190</v>
      </c>
      <c r="J67" s="8" t="n">
        <f aca="false">ROUND(I67*Ipoteze!$B$4,2)</f>
        <v>39.9</v>
      </c>
      <c r="K67" s="8" t="n">
        <f aca="false">I67+J67</f>
        <v>229.9</v>
      </c>
    </row>
    <row r="68" customFormat="false" ht="15" hidden="false" customHeight="false" outlineLevel="0" collapsed="false">
      <c r="A68" s="2" t="s">
        <v>224</v>
      </c>
      <c r="B68" s="19" t="n">
        <v>46260</v>
      </c>
      <c r="C68" s="2" t="s">
        <v>535</v>
      </c>
      <c r="D68" s="2" t="s">
        <v>485</v>
      </c>
      <c r="E68" s="2" t="s">
        <v>489</v>
      </c>
      <c r="F68" s="2" t="s">
        <v>104</v>
      </c>
      <c r="G68" s="2" t="n">
        <v>35</v>
      </c>
      <c r="H68" s="8" t="n">
        <v>120</v>
      </c>
      <c r="I68" s="8" t="n">
        <f aca="false">G68*H68</f>
        <v>4200</v>
      </c>
      <c r="J68" s="8" t="n">
        <f aca="false">ROUND(I68*Ipoteze!$B$4,2)</f>
        <v>882</v>
      </c>
      <c r="K68" s="8" t="n">
        <f aca="false">I68+J68</f>
        <v>5082</v>
      </c>
    </row>
    <row r="69" customFormat="false" ht="15" hidden="false" customHeight="false" outlineLevel="0" collapsed="false">
      <c r="A69" s="2" t="s">
        <v>224</v>
      </c>
      <c r="B69" s="19" t="n">
        <v>46261</v>
      </c>
      <c r="C69" s="2" t="s">
        <v>536</v>
      </c>
      <c r="D69" s="2" t="s">
        <v>464</v>
      </c>
      <c r="E69" s="2" t="s">
        <v>480</v>
      </c>
      <c r="F69" s="2" t="s">
        <v>89</v>
      </c>
      <c r="G69" s="2" t="n">
        <v>30</v>
      </c>
      <c r="H69" s="8" t="n">
        <v>9</v>
      </c>
      <c r="I69" s="8" t="n">
        <f aca="false">G69*H69</f>
        <v>270</v>
      </c>
      <c r="J69" s="8" t="n">
        <f aca="false">ROUND(I69*Ipoteze!$B$4,2)</f>
        <v>56.7</v>
      </c>
      <c r="K69" s="8" t="n">
        <f aca="false">I69+J69</f>
        <v>326.7</v>
      </c>
    </row>
    <row r="70" customFormat="false" ht="15" hidden="false" customHeight="false" outlineLevel="0" collapsed="false">
      <c r="A70" s="2" t="s">
        <v>224</v>
      </c>
      <c r="B70" s="19" t="n">
        <v>46261</v>
      </c>
      <c r="C70" s="2" t="s">
        <v>536</v>
      </c>
      <c r="D70" s="2" t="s">
        <v>464</v>
      </c>
      <c r="E70" s="2" t="s">
        <v>465</v>
      </c>
      <c r="F70" s="2" t="s">
        <v>94</v>
      </c>
      <c r="G70" s="2" t="n">
        <v>10</v>
      </c>
      <c r="H70" s="8" t="n">
        <v>19</v>
      </c>
      <c r="I70" s="8" t="n">
        <f aca="false">G70*H70</f>
        <v>190</v>
      </c>
      <c r="J70" s="8" t="n">
        <f aca="false">ROUND(I70*Ipoteze!$B$4,2)</f>
        <v>39.9</v>
      </c>
      <c r="K70" s="8" t="n">
        <f aca="false">I70+J70</f>
        <v>229.9</v>
      </c>
    </row>
    <row r="71" customFormat="false" ht="15" hidden="false" customHeight="false" outlineLevel="0" collapsed="false">
      <c r="A71" s="2" t="s">
        <v>224</v>
      </c>
      <c r="B71" s="19" t="n">
        <v>46261</v>
      </c>
      <c r="C71" s="2" t="s">
        <v>537</v>
      </c>
      <c r="D71" s="2" t="s">
        <v>467</v>
      </c>
      <c r="E71" s="2" t="s">
        <v>468</v>
      </c>
      <c r="F71" s="2" t="s">
        <v>97</v>
      </c>
      <c r="G71" s="2" t="n">
        <v>20</v>
      </c>
      <c r="H71" s="8" t="n">
        <v>290</v>
      </c>
      <c r="I71" s="8" t="n">
        <f aca="false">G71*H71</f>
        <v>5800</v>
      </c>
      <c r="J71" s="8" t="n">
        <f aca="false">ROUND(I71*Ipoteze!$B$4,2)</f>
        <v>1218</v>
      </c>
      <c r="K71" s="8" t="n">
        <f aca="false">I71+J71</f>
        <v>7018</v>
      </c>
    </row>
    <row r="72" customFormat="false" ht="15" hidden="false" customHeight="false" outlineLevel="0" collapsed="false">
      <c r="A72" s="2" t="s">
        <v>224</v>
      </c>
      <c r="B72" s="19" t="n">
        <v>46262</v>
      </c>
      <c r="C72" s="2" t="s">
        <v>538</v>
      </c>
      <c r="D72" s="2" t="s">
        <v>464</v>
      </c>
      <c r="E72" s="2" t="s">
        <v>465</v>
      </c>
      <c r="F72" s="2" t="s">
        <v>94</v>
      </c>
      <c r="G72" s="2" t="n">
        <v>10</v>
      </c>
      <c r="H72" s="8" t="n">
        <v>19</v>
      </c>
      <c r="I72" s="8" t="n">
        <f aca="false">G72*H72</f>
        <v>190</v>
      </c>
      <c r="J72" s="8" t="n">
        <f aca="false">ROUND(I72*Ipoteze!$B$4,2)</f>
        <v>39.9</v>
      </c>
      <c r="K72" s="8" t="n">
        <f aca="false">I72+J72</f>
        <v>229.9</v>
      </c>
    </row>
    <row r="73" customFormat="false" ht="15" hidden="false" customHeight="false" outlineLevel="0" collapsed="false">
      <c r="A73" s="2" t="s">
        <v>224</v>
      </c>
      <c r="B73" s="19" t="n">
        <v>46262</v>
      </c>
      <c r="C73" s="2" t="s">
        <v>539</v>
      </c>
      <c r="D73" s="2" t="s">
        <v>470</v>
      </c>
      <c r="E73" s="2" t="s">
        <v>477</v>
      </c>
      <c r="F73" s="2" t="s">
        <v>130</v>
      </c>
      <c r="G73" s="2" t="n">
        <v>10</v>
      </c>
      <c r="H73" s="8" t="n">
        <v>190</v>
      </c>
      <c r="I73" s="8" t="n">
        <f aca="false">G73*H73</f>
        <v>1900</v>
      </c>
      <c r="J73" s="8" t="n">
        <f aca="false">ROUND(I73*Ipoteze!$B$4,2)</f>
        <v>399</v>
      </c>
      <c r="K73" s="8" t="n">
        <f aca="false">I73+J73</f>
        <v>2299</v>
      </c>
    </row>
    <row r="74" customFormat="false" ht="15" hidden="false" customHeight="false" outlineLevel="0" collapsed="false">
      <c r="A74" s="2" t="s">
        <v>224</v>
      </c>
      <c r="B74" s="19" t="n">
        <v>46265</v>
      </c>
      <c r="C74" s="2" t="s">
        <v>540</v>
      </c>
      <c r="D74" s="2" t="s">
        <v>464</v>
      </c>
      <c r="E74" s="2" t="s">
        <v>465</v>
      </c>
      <c r="F74" s="2" t="s">
        <v>94</v>
      </c>
      <c r="G74" s="2" t="n">
        <v>10</v>
      </c>
      <c r="H74" s="8" t="n">
        <v>19</v>
      </c>
      <c r="I74" s="8" t="n">
        <f aca="false">G74*H74</f>
        <v>190</v>
      </c>
      <c r="J74" s="8" t="n">
        <f aca="false">ROUND(I74*Ipoteze!$B$4,2)</f>
        <v>39.9</v>
      </c>
      <c r="K74" s="8" t="n">
        <f aca="false">I74+J74</f>
        <v>229.9</v>
      </c>
    </row>
    <row r="75" customFormat="false" ht="15" hidden="false" customHeight="false" outlineLevel="0" collapsed="false">
      <c r="A75" s="2" t="s">
        <v>224</v>
      </c>
      <c r="B75" s="19" t="n">
        <v>46265</v>
      </c>
      <c r="C75" s="2" t="s">
        <v>541</v>
      </c>
      <c r="D75" s="2" t="s">
        <v>467</v>
      </c>
      <c r="E75" s="2" t="s">
        <v>475</v>
      </c>
      <c r="F75" s="2" t="s">
        <v>124</v>
      </c>
      <c r="G75" s="2" t="n">
        <v>10</v>
      </c>
      <c r="H75" s="8" t="n">
        <v>18</v>
      </c>
      <c r="I75" s="8" t="n">
        <f aca="false">G75*H75</f>
        <v>180</v>
      </c>
      <c r="J75" s="8" t="n">
        <f aca="false">ROUND(I75*Ipoteze!$B$4,2)</f>
        <v>37.8</v>
      </c>
      <c r="K75" s="8" t="n">
        <f aca="false">I75+J75</f>
        <v>217.8</v>
      </c>
    </row>
    <row r="76" customFormat="false" ht="15" hidden="false" customHeight="false" outlineLevel="0" collapsed="false">
      <c r="A76" s="2" t="s">
        <v>224</v>
      </c>
      <c r="B76" s="19" t="n">
        <v>46265</v>
      </c>
      <c r="C76" s="2" t="s">
        <v>542</v>
      </c>
      <c r="D76" s="2" t="s">
        <v>470</v>
      </c>
      <c r="E76" s="2" t="s">
        <v>477</v>
      </c>
      <c r="F76" s="2" t="s">
        <v>130</v>
      </c>
      <c r="G76" s="2" t="n">
        <v>10</v>
      </c>
      <c r="H76" s="8" t="n">
        <v>190</v>
      </c>
      <c r="I76" s="8" t="n">
        <f aca="false">G76*H76</f>
        <v>1900</v>
      </c>
      <c r="J76" s="8" t="n">
        <f aca="false">ROUND(I76*Ipoteze!$B$4,2)</f>
        <v>399</v>
      </c>
      <c r="K76" s="8" t="n">
        <f aca="false">I76+J76</f>
        <v>2299</v>
      </c>
    </row>
    <row r="77" customFormat="false" ht="15" hidden="false" customHeight="false" outlineLevel="0" collapsed="false">
      <c r="A77" s="2" t="s">
        <v>343</v>
      </c>
      <c r="B77" s="19" t="n">
        <v>46268</v>
      </c>
      <c r="C77" s="2" t="s">
        <v>543</v>
      </c>
      <c r="D77" s="2" t="s">
        <v>464</v>
      </c>
      <c r="E77" s="2" t="s">
        <v>479</v>
      </c>
      <c r="F77" s="2" t="s">
        <v>86</v>
      </c>
      <c r="G77" s="2" t="n">
        <v>30</v>
      </c>
      <c r="H77" s="8" t="n">
        <v>22</v>
      </c>
      <c r="I77" s="8" t="n">
        <f aca="false">G77*H77</f>
        <v>660</v>
      </c>
      <c r="J77" s="8" t="n">
        <f aca="false">ROUND(I77*Ipoteze!$B$4,2)</f>
        <v>138.6</v>
      </c>
      <c r="K77" s="8" t="n">
        <f aca="false">I77+J77</f>
        <v>798.6</v>
      </c>
    </row>
    <row r="78" customFormat="false" ht="15" hidden="false" customHeight="false" outlineLevel="0" collapsed="false">
      <c r="A78" s="2" t="s">
        <v>343</v>
      </c>
      <c r="B78" s="19" t="n">
        <v>46268</v>
      </c>
      <c r="C78" s="2" t="s">
        <v>544</v>
      </c>
      <c r="D78" s="2" t="s">
        <v>470</v>
      </c>
      <c r="E78" s="2" t="s">
        <v>471</v>
      </c>
      <c r="F78" s="2" t="s">
        <v>113</v>
      </c>
      <c r="G78" s="2" t="n">
        <v>10</v>
      </c>
      <c r="H78" s="8" t="n">
        <v>780</v>
      </c>
      <c r="I78" s="8" t="n">
        <f aca="false">G78*H78</f>
        <v>7800</v>
      </c>
      <c r="J78" s="8" t="n">
        <f aca="false">ROUND(I78*Ipoteze!$B$4,2)</f>
        <v>1638</v>
      </c>
      <c r="K78" s="8" t="n">
        <f aca="false">I78+J78</f>
        <v>9438</v>
      </c>
    </row>
    <row r="79" customFormat="false" ht="15" hidden="false" customHeight="false" outlineLevel="0" collapsed="false">
      <c r="A79" s="2" t="s">
        <v>343</v>
      </c>
      <c r="B79" s="19" t="n">
        <v>46272</v>
      </c>
      <c r="C79" s="2" t="s">
        <v>545</v>
      </c>
      <c r="D79" s="2" t="s">
        <v>470</v>
      </c>
      <c r="E79" s="2" t="s">
        <v>492</v>
      </c>
      <c r="F79" s="2" t="s">
        <v>108</v>
      </c>
      <c r="G79" s="2" t="n">
        <v>40</v>
      </c>
      <c r="H79" s="8" t="n">
        <v>160</v>
      </c>
      <c r="I79" s="8" t="n">
        <f aca="false">G79*H79</f>
        <v>6400</v>
      </c>
      <c r="J79" s="8" t="n">
        <f aca="false">ROUND(I79*Ipoteze!$B$4,2)</f>
        <v>1344</v>
      </c>
      <c r="K79" s="8" t="n">
        <f aca="false">I79+J79</f>
        <v>7744</v>
      </c>
    </row>
    <row r="80" customFormat="false" ht="15" hidden="false" customHeight="false" outlineLevel="0" collapsed="false">
      <c r="A80" s="2" t="s">
        <v>343</v>
      </c>
      <c r="B80" s="19" t="n">
        <v>46273</v>
      </c>
      <c r="C80" s="2" t="s">
        <v>546</v>
      </c>
      <c r="D80" s="2" t="s">
        <v>464</v>
      </c>
      <c r="E80" s="2" t="s">
        <v>480</v>
      </c>
      <c r="F80" s="2" t="s">
        <v>89</v>
      </c>
      <c r="G80" s="2" t="n">
        <v>30</v>
      </c>
      <c r="H80" s="8" t="n">
        <v>9</v>
      </c>
      <c r="I80" s="8" t="n">
        <f aca="false">G80*H80</f>
        <v>270</v>
      </c>
      <c r="J80" s="8" t="n">
        <f aca="false">ROUND(I80*Ipoteze!$B$4,2)</f>
        <v>56.7</v>
      </c>
      <c r="K80" s="8" t="n">
        <f aca="false">I80+J80</f>
        <v>326.7</v>
      </c>
    </row>
    <row r="81" customFormat="false" ht="15" hidden="false" customHeight="false" outlineLevel="0" collapsed="false">
      <c r="A81" s="2" t="s">
        <v>343</v>
      </c>
      <c r="B81" s="19" t="n">
        <v>46273</v>
      </c>
      <c r="C81" s="2" t="s">
        <v>547</v>
      </c>
      <c r="D81" s="2" t="s">
        <v>467</v>
      </c>
      <c r="E81" s="2" t="s">
        <v>475</v>
      </c>
      <c r="F81" s="2" t="s">
        <v>124</v>
      </c>
      <c r="G81" s="2" t="n">
        <v>20</v>
      </c>
      <c r="H81" s="8" t="n">
        <v>18</v>
      </c>
      <c r="I81" s="8" t="n">
        <f aca="false">G81*H81</f>
        <v>360</v>
      </c>
      <c r="J81" s="8" t="n">
        <f aca="false">ROUND(I81*Ipoteze!$B$4,2)</f>
        <v>75.6</v>
      </c>
      <c r="K81" s="8" t="n">
        <f aca="false">I81+J81</f>
        <v>435.6</v>
      </c>
    </row>
    <row r="82" customFormat="false" ht="15" hidden="false" customHeight="false" outlineLevel="0" collapsed="false">
      <c r="A82" s="2" t="s">
        <v>343</v>
      </c>
      <c r="B82" s="19" t="n">
        <v>46274</v>
      </c>
      <c r="C82" s="2" t="s">
        <v>548</v>
      </c>
      <c r="D82" s="2" t="s">
        <v>464</v>
      </c>
      <c r="E82" s="2" t="s">
        <v>480</v>
      </c>
      <c r="F82" s="2" t="s">
        <v>89</v>
      </c>
      <c r="G82" s="2" t="n">
        <v>30</v>
      </c>
      <c r="H82" s="8" t="n">
        <v>9</v>
      </c>
      <c r="I82" s="8" t="n">
        <f aca="false">G82*H82</f>
        <v>270</v>
      </c>
      <c r="J82" s="8" t="n">
        <f aca="false">ROUND(I82*Ipoteze!$B$4,2)</f>
        <v>56.7</v>
      </c>
      <c r="K82" s="8" t="n">
        <f aca="false">I82+J82</f>
        <v>326.7</v>
      </c>
    </row>
    <row r="83" customFormat="false" ht="15" hidden="false" customHeight="false" outlineLevel="0" collapsed="false">
      <c r="A83" s="2" t="s">
        <v>343</v>
      </c>
      <c r="B83" s="19" t="n">
        <v>46274</v>
      </c>
      <c r="C83" s="2" t="s">
        <v>548</v>
      </c>
      <c r="D83" s="2" t="s">
        <v>464</v>
      </c>
      <c r="E83" s="2" t="s">
        <v>473</v>
      </c>
      <c r="F83" s="2" t="s">
        <v>78</v>
      </c>
      <c r="G83" s="2" t="n">
        <v>10</v>
      </c>
      <c r="H83" s="8" t="n">
        <v>85</v>
      </c>
      <c r="I83" s="8" t="n">
        <f aca="false">G83*H83</f>
        <v>850</v>
      </c>
      <c r="J83" s="8" t="n">
        <f aca="false">ROUND(I83*Ipoteze!$B$4,2)</f>
        <v>178.5</v>
      </c>
      <c r="K83" s="8" t="n">
        <f aca="false">I83+J83</f>
        <v>1028.5</v>
      </c>
    </row>
    <row r="84" customFormat="false" ht="15" hidden="false" customHeight="false" outlineLevel="0" collapsed="false">
      <c r="A84" s="2" t="s">
        <v>343</v>
      </c>
      <c r="B84" s="19" t="n">
        <v>46274</v>
      </c>
      <c r="C84" s="2" t="s">
        <v>548</v>
      </c>
      <c r="D84" s="2" t="s">
        <v>464</v>
      </c>
      <c r="E84" s="2" t="s">
        <v>483</v>
      </c>
      <c r="F84" s="2" t="s">
        <v>101</v>
      </c>
      <c r="G84" s="2" t="n">
        <v>35</v>
      </c>
      <c r="H84" s="8" t="n">
        <v>75</v>
      </c>
      <c r="I84" s="8" t="n">
        <f aca="false">G84*H84</f>
        <v>2625</v>
      </c>
      <c r="J84" s="8" t="n">
        <f aca="false">ROUND(I84*Ipoteze!$B$4,2)</f>
        <v>551.25</v>
      </c>
      <c r="K84" s="8" t="n">
        <f aca="false">I84+J84</f>
        <v>3176.25</v>
      </c>
    </row>
    <row r="85" customFormat="false" ht="15" hidden="false" customHeight="false" outlineLevel="0" collapsed="false">
      <c r="A85" s="2" t="s">
        <v>343</v>
      </c>
      <c r="B85" s="19" t="n">
        <v>46274</v>
      </c>
      <c r="C85" s="2" t="s">
        <v>549</v>
      </c>
      <c r="D85" s="2" t="s">
        <v>467</v>
      </c>
      <c r="E85" s="2" t="s">
        <v>475</v>
      </c>
      <c r="F85" s="2" t="s">
        <v>124</v>
      </c>
      <c r="G85" s="2" t="n">
        <v>20</v>
      </c>
      <c r="H85" s="8" t="n">
        <v>18</v>
      </c>
      <c r="I85" s="8" t="n">
        <f aca="false">G85*H85</f>
        <v>360</v>
      </c>
      <c r="J85" s="8" t="n">
        <f aca="false">ROUND(I85*Ipoteze!$B$4,2)</f>
        <v>75.6</v>
      </c>
      <c r="K85" s="8" t="n">
        <f aca="false">I85+J85</f>
        <v>435.6</v>
      </c>
    </row>
    <row r="86" customFormat="false" ht="15" hidden="false" customHeight="false" outlineLevel="0" collapsed="false">
      <c r="A86" s="2" t="s">
        <v>343</v>
      </c>
      <c r="B86" s="19" t="n">
        <v>46274</v>
      </c>
      <c r="C86" s="2" t="s">
        <v>550</v>
      </c>
      <c r="D86" s="2" t="s">
        <v>485</v>
      </c>
      <c r="E86" s="2" t="s">
        <v>489</v>
      </c>
      <c r="F86" s="2" t="s">
        <v>104</v>
      </c>
      <c r="G86" s="2" t="n">
        <v>15</v>
      </c>
      <c r="H86" s="8" t="n">
        <v>120</v>
      </c>
      <c r="I86" s="8" t="n">
        <f aca="false">G86*H86</f>
        <v>1800</v>
      </c>
      <c r="J86" s="8" t="n">
        <f aca="false">ROUND(I86*Ipoteze!$B$4,2)</f>
        <v>378</v>
      </c>
      <c r="K86" s="8" t="n">
        <f aca="false">I86+J86</f>
        <v>2178</v>
      </c>
    </row>
    <row r="87" customFormat="false" ht="15" hidden="false" customHeight="false" outlineLevel="0" collapsed="false">
      <c r="A87" s="2" t="s">
        <v>343</v>
      </c>
      <c r="B87" s="19" t="n">
        <v>46275</v>
      </c>
      <c r="C87" s="2" t="s">
        <v>551</v>
      </c>
      <c r="D87" s="2" t="s">
        <v>467</v>
      </c>
      <c r="E87" s="2" t="s">
        <v>468</v>
      </c>
      <c r="F87" s="2" t="s">
        <v>97</v>
      </c>
      <c r="G87" s="2" t="n">
        <v>20</v>
      </c>
      <c r="H87" s="8" t="n">
        <v>290</v>
      </c>
      <c r="I87" s="8" t="n">
        <f aca="false">G87*H87</f>
        <v>5800</v>
      </c>
      <c r="J87" s="8" t="n">
        <f aca="false">ROUND(I87*Ipoteze!$B$4,2)</f>
        <v>1218</v>
      </c>
      <c r="K87" s="8" t="n">
        <f aca="false">I87+J87</f>
        <v>7018</v>
      </c>
    </row>
    <row r="88" customFormat="false" ht="15" hidden="false" customHeight="false" outlineLevel="0" collapsed="false">
      <c r="A88" s="2" t="s">
        <v>343</v>
      </c>
      <c r="B88" s="19" t="n">
        <v>46277</v>
      </c>
      <c r="C88" s="2" t="s">
        <v>552</v>
      </c>
      <c r="D88" s="2" t="s">
        <v>485</v>
      </c>
      <c r="E88" s="2" t="s">
        <v>489</v>
      </c>
      <c r="F88" s="2" t="s">
        <v>104</v>
      </c>
      <c r="G88" s="2" t="n">
        <v>15</v>
      </c>
      <c r="H88" s="8" t="n">
        <v>120</v>
      </c>
      <c r="I88" s="8" t="n">
        <f aca="false">G88*H88</f>
        <v>1800</v>
      </c>
      <c r="J88" s="8" t="n">
        <f aca="false">ROUND(I88*Ipoteze!$B$4,2)</f>
        <v>378</v>
      </c>
      <c r="K88" s="8" t="n">
        <f aca="false">I88+J88</f>
        <v>2178</v>
      </c>
    </row>
    <row r="89" customFormat="false" ht="15" hidden="false" customHeight="false" outlineLevel="0" collapsed="false">
      <c r="A89" s="2" t="s">
        <v>343</v>
      </c>
      <c r="B89" s="19" t="n">
        <v>46281</v>
      </c>
      <c r="C89" s="2" t="s">
        <v>553</v>
      </c>
      <c r="D89" s="2" t="s">
        <v>464</v>
      </c>
      <c r="E89" s="2" t="s">
        <v>465</v>
      </c>
      <c r="F89" s="2" t="s">
        <v>94</v>
      </c>
      <c r="G89" s="2" t="n">
        <v>40</v>
      </c>
      <c r="H89" s="8" t="n">
        <v>19</v>
      </c>
      <c r="I89" s="8" t="n">
        <f aca="false">G89*H89</f>
        <v>760</v>
      </c>
      <c r="J89" s="8" t="n">
        <f aca="false">ROUND(I89*Ipoteze!$B$4,2)</f>
        <v>159.6</v>
      </c>
      <c r="K89" s="8" t="n">
        <f aca="false">I89+J89</f>
        <v>919.6</v>
      </c>
    </row>
    <row r="90" customFormat="false" ht="15" hidden="false" customHeight="false" outlineLevel="0" collapsed="false">
      <c r="A90" s="2" t="s">
        <v>343</v>
      </c>
      <c r="B90" s="19" t="n">
        <v>46281</v>
      </c>
      <c r="C90" s="2" t="s">
        <v>554</v>
      </c>
      <c r="D90" s="2" t="s">
        <v>470</v>
      </c>
      <c r="E90" s="2" t="s">
        <v>496</v>
      </c>
      <c r="F90" s="2" t="s">
        <v>82</v>
      </c>
      <c r="G90" s="2" t="n">
        <v>20</v>
      </c>
      <c r="H90" s="8" t="n">
        <v>45</v>
      </c>
      <c r="I90" s="8" t="n">
        <f aca="false">G90*H90</f>
        <v>900</v>
      </c>
      <c r="J90" s="8" t="n">
        <f aca="false">ROUND(I90*Ipoteze!$B$4,2)</f>
        <v>189</v>
      </c>
      <c r="K90" s="8" t="n">
        <f aca="false">I90+J90</f>
        <v>1089</v>
      </c>
    </row>
    <row r="91" customFormat="false" ht="15" hidden="false" customHeight="false" outlineLevel="0" collapsed="false">
      <c r="A91" s="2" t="s">
        <v>343</v>
      </c>
      <c r="B91" s="19" t="n">
        <v>46282</v>
      </c>
      <c r="C91" s="2" t="s">
        <v>555</v>
      </c>
      <c r="D91" s="2" t="s">
        <v>470</v>
      </c>
      <c r="E91" s="2" t="s">
        <v>477</v>
      </c>
      <c r="F91" s="2" t="s">
        <v>130</v>
      </c>
      <c r="G91" s="2" t="n">
        <v>30</v>
      </c>
      <c r="H91" s="8" t="n">
        <v>190</v>
      </c>
      <c r="I91" s="8" t="n">
        <f aca="false">G91*H91</f>
        <v>5700</v>
      </c>
      <c r="J91" s="8" t="n">
        <f aca="false">ROUND(I91*Ipoteze!$B$4,2)</f>
        <v>1197</v>
      </c>
      <c r="K91" s="8" t="n">
        <f aca="false">I91+J91</f>
        <v>6897</v>
      </c>
    </row>
    <row r="92" customFormat="false" ht="15" hidden="false" customHeight="false" outlineLevel="0" collapsed="false">
      <c r="A92" s="2" t="s">
        <v>343</v>
      </c>
      <c r="B92" s="19" t="n">
        <v>46283</v>
      </c>
      <c r="C92" s="2" t="s">
        <v>556</v>
      </c>
      <c r="D92" s="2" t="s">
        <v>464</v>
      </c>
      <c r="E92" s="2" t="s">
        <v>483</v>
      </c>
      <c r="F92" s="2" t="s">
        <v>101</v>
      </c>
      <c r="G92" s="2" t="n">
        <v>35</v>
      </c>
      <c r="H92" s="8" t="n">
        <v>75</v>
      </c>
      <c r="I92" s="8" t="n">
        <f aca="false">G92*H92</f>
        <v>2625</v>
      </c>
      <c r="J92" s="8" t="n">
        <f aca="false">ROUND(I92*Ipoteze!$B$4,2)</f>
        <v>551.25</v>
      </c>
      <c r="K92" s="8" t="n">
        <f aca="false">I92+J92</f>
        <v>3176.25</v>
      </c>
    </row>
    <row r="93" customFormat="false" ht="15" hidden="false" customHeight="false" outlineLevel="0" collapsed="false">
      <c r="A93" s="2" t="s">
        <v>343</v>
      </c>
      <c r="B93" s="19" t="n">
        <v>46283</v>
      </c>
      <c r="C93" s="2" t="s">
        <v>557</v>
      </c>
      <c r="D93" s="2" t="s">
        <v>485</v>
      </c>
      <c r="E93" s="2" t="s">
        <v>489</v>
      </c>
      <c r="F93" s="2" t="s">
        <v>104</v>
      </c>
      <c r="G93" s="2" t="n">
        <v>15</v>
      </c>
      <c r="H93" s="8" t="n">
        <v>120</v>
      </c>
      <c r="I93" s="8" t="n">
        <f aca="false">G93*H93</f>
        <v>1800</v>
      </c>
      <c r="J93" s="8" t="n">
        <f aca="false">ROUND(I93*Ipoteze!$B$4,2)</f>
        <v>378</v>
      </c>
      <c r="K93" s="8" t="n">
        <f aca="false">I93+J93</f>
        <v>2178</v>
      </c>
    </row>
    <row r="94" customFormat="false" ht="15" hidden="false" customHeight="false" outlineLevel="0" collapsed="false">
      <c r="A94" s="2" t="s">
        <v>343</v>
      </c>
      <c r="B94" s="19" t="n">
        <v>46283</v>
      </c>
      <c r="C94" s="2" t="s">
        <v>558</v>
      </c>
      <c r="D94" s="2" t="s">
        <v>470</v>
      </c>
      <c r="E94" s="2" t="s">
        <v>477</v>
      </c>
      <c r="F94" s="2" t="s">
        <v>130</v>
      </c>
      <c r="G94" s="2" t="n">
        <v>30</v>
      </c>
      <c r="H94" s="8" t="n">
        <v>190</v>
      </c>
      <c r="I94" s="8" t="n">
        <f aca="false">G94*H94</f>
        <v>5700</v>
      </c>
      <c r="J94" s="8" t="n">
        <f aca="false">ROUND(I94*Ipoteze!$B$4,2)</f>
        <v>1197</v>
      </c>
      <c r="K94" s="8" t="n">
        <f aca="false">I94+J94</f>
        <v>6897</v>
      </c>
    </row>
    <row r="95" customFormat="false" ht="15" hidden="false" customHeight="false" outlineLevel="0" collapsed="false">
      <c r="A95" s="2" t="s">
        <v>343</v>
      </c>
      <c r="B95" s="19" t="n">
        <v>46284</v>
      </c>
      <c r="C95" s="2" t="s">
        <v>559</v>
      </c>
      <c r="D95" s="2" t="s">
        <v>485</v>
      </c>
      <c r="E95" s="2" t="s">
        <v>486</v>
      </c>
      <c r="F95" s="2" t="s">
        <v>134</v>
      </c>
      <c r="G95" s="2" t="n">
        <v>45</v>
      </c>
      <c r="H95" s="8" t="n">
        <v>70</v>
      </c>
      <c r="I95" s="8" t="n">
        <f aca="false">G95*H95</f>
        <v>3150</v>
      </c>
      <c r="J95" s="8" t="n">
        <f aca="false">ROUND(I95*Ipoteze!$B$4,2)</f>
        <v>661.5</v>
      </c>
      <c r="K95" s="8" t="n">
        <f aca="false">I95+J95</f>
        <v>3811.5</v>
      </c>
    </row>
    <row r="96" customFormat="false" ht="15" hidden="false" customHeight="false" outlineLevel="0" collapsed="false">
      <c r="A96" s="2" t="s">
        <v>343</v>
      </c>
      <c r="B96" s="19" t="n">
        <v>46284</v>
      </c>
      <c r="C96" s="2" t="s">
        <v>560</v>
      </c>
      <c r="D96" s="2" t="s">
        <v>470</v>
      </c>
      <c r="E96" s="2" t="s">
        <v>492</v>
      </c>
      <c r="F96" s="2" t="s">
        <v>108</v>
      </c>
      <c r="G96" s="2" t="n">
        <v>40</v>
      </c>
      <c r="H96" s="8" t="n">
        <v>160</v>
      </c>
      <c r="I96" s="8" t="n">
        <f aca="false">G96*H96</f>
        <v>6400</v>
      </c>
      <c r="J96" s="8" t="n">
        <f aca="false">ROUND(I96*Ipoteze!$B$4,2)</f>
        <v>1344</v>
      </c>
      <c r="K96" s="8" t="n">
        <f aca="false">I96+J96</f>
        <v>7744</v>
      </c>
    </row>
    <row r="97" customFormat="false" ht="15" hidden="false" customHeight="false" outlineLevel="0" collapsed="false">
      <c r="A97" s="2" t="s">
        <v>343</v>
      </c>
      <c r="B97" s="19" t="n">
        <v>46286</v>
      </c>
      <c r="C97" s="2" t="s">
        <v>561</v>
      </c>
      <c r="D97" s="2" t="s">
        <v>485</v>
      </c>
      <c r="E97" s="2" t="s">
        <v>486</v>
      </c>
      <c r="F97" s="2" t="s">
        <v>134</v>
      </c>
      <c r="G97" s="2" t="n">
        <v>45</v>
      </c>
      <c r="H97" s="8" t="n">
        <v>70</v>
      </c>
      <c r="I97" s="8" t="n">
        <f aca="false">G97*H97</f>
        <v>3150</v>
      </c>
      <c r="J97" s="8" t="n">
        <f aca="false">ROUND(I97*Ipoteze!$B$4,2)</f>
        <v>661.5</v>
      </c>
      <c r="K97" s="8" t="n">
        <f aca="false">I97+J97</f>
        <v>3811.5</v>
      </c>
    </row>
    <row r="98" customFormat="false" ht="15" hidden="false" customHeight="false" outlineLevel="0" collapsed="false">
      <c r="A98" s="2" t="s">
        <v>343</v>
      </c>
      <c r="B98" s="19" t="n">
        <v>46288</v>
      </c>
      <c r="C98" s="2" t="s">
        <v>562</v>
      </c>
      <c r="D98" s="2" t="s">
        <v>464</v>
      </c>
      <c r="E98" s="2" t="s">
        <v>465</v>
      </c>
      <c r="F98" s="2" t="s">
        <v>94</v>
      </c>
      <c r="G98" s="2" t="n">
        <v>40</v>
      </c>
      <c r="H98" s="8" t="n">
        <v>19</v>
      </c>
      <c r="I98" s="8" t="n">
        <f aca="false">G98*H98</f>
        <v>760</v>
      </c>
      <c r="J98" s="8" t="n">
        <f aca="false">ROUND(I98*Ipoteze!$B$4,2)</f>
        <v>159.6</v>
      </c>
      <c r="K98" s="8" t="n">
        <f aca="false">I98+J98</f>
        <v>919.6</v>
      </c>
    </row>
    <row r="99" customFormat="false" ht="15" hidden="false" customHeight="false" outlineLevel="0" collapsed="false">
      <c r="A99" s="2" t="s">
        <v>343</v>
      </c>
      <c r="B99" s="19" t="n">
        <v>46288</v>
      </c>
      <c r="C99" s="2" t="s">
        <v>563</v>
      </c>
      <c r="D99" s="2" t="s">
        <v>470</v>
      </c>
      <c r="E99" s="2" t="s">
        <v>496</v>
      </c>
      <c r="F99" s="2" t="s">
        <v>82</v>
      </c>
      <c r="G99" s="2" t="n">
        <v>20</v>
      </c>
      <c r="H99" s="8" t="n">
        <v>45</v>
      </c>
      <c r="I99" s="8" t="n">
        <f aca="false">G99*H99</f>
        <v>900</v>
      </c>
      <c r="J99" s="8" t="n">
        <f aca="false">ROUND(I99*Ipoteze!$B$4,2)</f>
        <v>189</v>
      </c>
      <c r="K99" s="8" t="n">
        <f aca="false">I99+J99</f>
        <v>1089</v>
      </c>
    </row>
    <row r="100" customFormat="false" ht="15" hidden="false" customHeight="false" outlineLevel="0" collapsed="false">
      <c r="A100" s="2" t="s">
        <v>343</v>
      </c>
      <c r="B100" s="19" t="n">
        <v>46289</v>
      </c>
      <c r="C100" s="2" t="s">
        <v>564</v>
      </c>
      <c r="D100" s="2" t="s">
        <v>464</v>
      </c>
      <c r="E100" s="2" t="s">
        <v>465</v>
      </c>
      <c r="F100" s="2" t="s">
        <v>94</v>
      </c>
      <c r="G100" s="2" t="n">
        <v>40</v>
      </c>
      <c r="H100" s="8" t="n">
        <v>19</v>
      </c>
      <c r="I100" s="8" t="n">
        <f aca="false">G100*H100</f>
        <v>760</v>
      </c>
      <c r="J100" s="8" t="n">
        <f aca="false">ROUND(I100*Ipoteze!$B$4,2)</f>
        <v>159.6</v>
      </c>
      <c r="K100" s="8" t="n">
        <f aca="false">I100+J100</f>
        <v>919.6</v>
      </c>
    </row>
    <row r="101" customFormat="false" ht="15" hidden="false" customHeight="false" outlineLevel="0" collapsed="false">
      <c r="A101" s="2" t="s">
        <v>343</v>
      </c>
      <c r="B101" s="19" t="n">
        <v>46290</v>
      </c>
      <c r="C101" s="2" t="s">
        <v>565</v>
      </c>
      <c r="D101" s="2" t="s">
        <v>470</v>
      </c>
      <c r="E101" s="2" t="s">
        <v>496</v>
      </c>
      <c r="F101" s="2" t="s">
        <v>82</v>
      </c>
      <c r="G101" s="2" t="n">
        <v>20</v>
      </c>
      <c r="H101" s="8" t="n">
        <v>45</v>
      </c>
      <c r="I101" s="8" t="n">
        <f aca="false">G101*H101</f>
        <v>900</v>
      </c>
      <c r="J101" s="8" t="n">
        <f aca="false">ROUND(I101*Ipoteze!$B$4,2)</f>
        <v>189</v>
      </c>
      <c r="K101" s="8" t="n">
        <f aca="false">I101+J101</f>
        <v>1089</v>
      </c>
    </row>
    <row r="102" customFormat="false" ht="15" hidden="false" customHeight="false" outlineLevel="0" collapsed="false">
      <c r="A102" s="2" t="s">
        <v>343</v>
      </c>
      <c r="B102" s="19" t="n">
        <v>46291</v>
      </c>
      <c r="C102" s="2" t="s">
        <v>566</v>
      </c>
      <c r="D102" s="2" t="s">
        <v>464</v>
      </c>
      <c r="E102" s="2" t="s">
        <v>479</v>
      </c>
      <c r="F102" s="2" t="s">
        <v>86</v>
      </c>
      <c r="G102" s="2" t="n">
        <v>30</v>
      </c>
      <c r="H102" s="8" t="n">
        <v>22</v>
      </c>
      <c r="I102" s="8" t="n">
        <f aca="false">G102*H102</f>
        <v>660</v>
      </c>
      <c r="J102" s="8" t="n">
        <f aca="false">ROUND(I102*Ipoteze!$B$4,2)</f>
        <v>138.6</v>
      </c>
      <c r="K102" s="8" t="n">
        <f aca="false">I102+J102</f>
        <v>798.6</v>
      </c>
    </row>
    <row r="103" customFormat="false" ht="15" hidden="false" customHeight="false" outlineLevel="0" collapsed="false">
      <c r="A103" s="2" t="s">
        <v>343</v>
      </c>
      <c r="B103" s="19" t="n">
        <v>46291</v>
      </c>
      <c r="C103" s="2" t="s">
        <v>566</v>
      </c>
      <c r="D103" s="2" t="s">
        <v>464</v>
      </c>
      <c r="E103" s="2" t="s">
        <v>473</v>
      </c>
      <c r="F103" s="2" t="s">
        <v>78</v>
      </c>
      <c r="G103" s="2" t="n">
        <v>10</v>
      </c>
      <c r="H103" s="8" t="n">
        <v>85</v>
      </c>
      <c r="I103" s="8" t="n">
        <f aca="false">G103*H103</f>
        <v>850</v>
      </c>
      <c r="J103" s="8" t="n">
        <f aca="false">ROUND(I103*Ipoteze!$B$4,2)</f>
        <v>178.5</v>
      </c>
      <c r="K103" s="8" t="n">
        <f aca="false">I103+J103</f>
        <v>1028.5</v>
      </c>
    </row>
    <row r="104" customFormat="false" ht="15" hidden="false" customHeight="false" outlineLevel="0" collapsed="false">
      <c r="A104" s="2" t="s">
        <v>343</v>
      </c>
      <c r="B104" s="19" t="n">
        <v>46291</v>
      </c>
      <c r="C104" s="2" t="s">
        <v>566</v>
      </c>
      <c r="D104" s="2" t="s">
        <v>464</v>
      </c>
      <c r="E104" s="2" t="s">
        <v>483</v>
      </c>
      <c r="F104" s="2" t="s">
        <v>101</v>
      </c>
      <c r="G104" s="2" t="n">
        <v>35</v>
      </c>
      <c r="H104" s="8" t="n">
        <v>75</v>
      </c>
      <c r="I104" s="8" t="n">
        <f aca="false">G104*H104</f>
        <v>2625</v>
      </c>
      <c r="J104" s="8" t="n">
        <f aca="false">ROUND(I104*Ipoteze!$B$4,2)</f>
        <v>551.25</v>
      </c>
      <c r="K104" s="8" t="n">
        <f aca="false">I104+J104</f>
        <v>3176.25</v>
      </c>
    </row>
    <row r="105" customFormat="false" ht="15" hidden="false" customHeight="false" outlineLevel="0" collapsed="false">
      <c r="A105" s="2" t="s">
        <v>343</v>
      </c>
      <c r="B105" s="19" t="n">
        <v>46291</v>
      </c>
      <c r="C105" s="2" t="s">
        <v>566</v>
      </c>
      <c r="D105" s="2" t="s">
        <v>464</v>
      </c>
      <c r="E105" s="2" t="s">
        <v>510</v>
      </c>
      <c r="F105" s="2" t="s">
        <v>91</v>
      </c>
      <c r="G105" s="2" t="n">
        <v>15</v>
      </c>
      <c r="H105" s="8" t="n">
        <v>48</v>
      </c>
      <c r="I105" s="8" t="n">
        <f aca="false">G105*H105</f>
        <v>720</v>
      </c>
      <c r="J105" s="8" t="n">
        <f aca="false">ROUND(I105*Ipoteze!$B$4,2)</f>
        <v>151.2</v>
      </c>
      <c r="K105" s="8" t="n">
        <f aca="false">I105+J105</f>
        <v>871.2</v>
      </c>
    </row>
    <row r="106" customFormat="false" ht="15" hidden="false" customHeight="false" outlineLevel="0" collapsed="false">
      <c r="A106" s="2" t="s">
        <v>343</v>
      </c>
      <c r="B106" s="19" t="n">
        <v>46293</v>
      </c>
      <c r="C106" s="2" t="s">
        <v>567</v>
      </c>
      <c r="D106" s="2" t="s">
        <v>470</v>
      </c>
      <c r="E106" s="2" t="s">
        <v>471</v>
      </c>
      <c r="F106" s="2" t="s">
        <v>113</v>
      </c>
      <c r="G106" s="2" t="n">
        <v>10</v>
      </c>
      <c r="H106" s="8" t="n">
        <v>780</v>
      </c>
      <c r="I106" s="8" t="n">
        <f aca="false">G106*H106</f>
        <v>7800</v>
      </c>
      <c r="J106" s="8" t="n">
        <f aca="false">ROUND(I106*Ipoteze!$B$4,2)</f>
        <v>1638</v>
      </c>
      <c r="K106" s="8" t="n">
        <f aca="false">I106+J106</f>
        <v>9438</v>
      </c>
    </row>
    <row r="107" customFormat="false" ht="15" hidden="false" customHeight="false" outlineLevel="0" collapsed="false">
      <c r="A107" s="2" t="s">
        <v>343</v>
      </c>
      <c r="B107" s="19" t="n">
        <v>46295</v>
      </c>
      <c r="C107" s="2" t="s">
        <v>568</v>
      </c>
      <c r="D107" s="2" t="s">
        <v>467</v>
      </c>
      <c r="E107" s="2" t="s">
        <v>468</v>
      </c>
      <c r="F107" s="2" t="s">
        <v>97</v>
      </c>
      <c r="G107" s="2" t="n">
        <v>20</v>
      </c>
      <c r="H107" s="8" t="n">
        <v>290</v>
      </c>
      <c r="I107" s="8" t="n">
        <f aca="false">G107*H107</f>
        <v>5800</v>
      </c>
      <c r="J107" s="8" t="n">
        <f aca="false">ROUND(I107*Ipoteze!$B$4,2)</f>
        <v>1218</v>
      </c>
      <c r="K107" s="8" t="n">
        <f aca="false">I107+J107</f>
        <v>7018</v>
      </c>
    </row>
  </sheetData>
  <autoFilter ref="A1:K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3.85" hidden="false" customHeight="false" outlineLevel="0" collapsed="false">
      <c r="A1" s="4" t="s">
        <v>60</v>
      </c>
      <c r="B1" s="4" t="s">
        <v>61</v>
      </c>
      <c r="C1" s="4" t="s">
        <v>64</v>
      </c>
      <c r="D1" s="4" t="s">
        <v>569</v>
      </c>
      <c r="E1" s="4" t="s">
        <v>459</v>
      </c>
      <c r="F1" s="4" t="s">
        <v>570</v>
      </c>
      <c r="G1" s="4" t="s">
        <v>571</v>
      </c>
      <c r="H1" s="4" t="s">
        <v>462</v>
      </c>
      <c r="I1" s="4" t="s">
        <v>71</v>
      </c>
    </row>
    <row r="2" customFormat="false" ht="15" hidden="false" customHeight="false" outlineLevel="0" collapsed="false">
      <c r="A2" s="2" t="s">
        <v>76</v>
      </c>
      <c r="B2" s="19" t="n">
        <v>46204</v>
      </c>
      <c r="C2" s="2" t="s">
        <v>572</v>
      </c>
      <c r="D2" s="2" t="s">
        <v>573</v>
      </c>
      <c r="E2" s="2" t="s">
        <v>574</v>
      </c>
      <c r="F2" s="8" t="n">
        <v>6500</v>
      </c>
      <c r="G2" s="20" t="n">
        <f aca="false">Ipoteze!$B$4</f>
        <v>0.21</v>
      </c>
      <c r="H2" s="8" t="n">
        <f aca="false">ROUND(F2*G2,2)</f>
        <v>1365</v>
      </c>
      <c r="I2" s="8" t="n">
        <f aca="false">F2+H2</f>
        <v>7865</v>
      </c>
    </row>
    <row r="3" customFormat="false" ht="15" hidden="false" customHeight="false" outlineLevel="0" collapsed="false">
      <c r="A3" s="2" t="s">
        <v>76</v>
      </c>
      <c r="B3" s="19" t="n">
        <v>46208</v>
      </c>
      <c r="C3" s="2" t="s">
        <v>575</v>
      </c>
      <c r="D3" s="2" t="s">
        <v>576</v>
      </c>
      <c r="E3" s="2" t="s">
        <v>577</v>
      </c>
      <c r="F3" s="8" t="n">
        <v>1495.3</v>
      </c>
      <c r="G3" s="20" t="n">
        <f aca="false">Ipoteze!$B$4</f>
        <v>0.21</v>
      </c>
      <c r="H3" s="8" t="n">
        <f aca="false">ROUND(F3*G3,2)</f>
        <v>314.01</v>
      </c>
      <c r="I3" s="8" t="n">
        <f aca="false">F3+H3</f>
        <v>1809.31</v>
      </c>
    </row>
    <row r="4" customFormat="false" ht="15" hidden="false" customHeight="false" outlineLevel="0" collapsed="false">
      <c r="A4" s="2" t="s">
        <v>76</v>
      </c>
      <c r="B4" s="19" t="n">
        <v>46208</v>
      </c>
      <c r="C4" s="2" t="s">
        <v>575</v>
      </c>
      <c r="D4" s="2" t="s">
        <v>578</v>
      </c>
      <c r="E4" s="2" t="s">
        <v>579</v>
      </c>
      <c r="F4" s="8" t="n">
        <v>198.6</v>
      </c>
      <c r="G4" s="20" t="n">
        <f aca="false">Ipoteze!$B$5</f>
        <v>0.11</v>
      </c>
      <c r="H4" s="8" t="n">
        <f aca="false">ROUND(F4*G4,2)</f>
        <v>21.85</v>
      </c>
      <c r="I4" s="8" t="n">
        <f aca="false">F4+H4</f>
        <v>220.45</v>
      </c>
    </row>
    <row r="5" customFormat="false" ht="15" hidden="false" customHeight="false" outlineLevel="0" collapsed="false">
      <c r="A5" s="2" t="s">
        <v>76</v>
      </c>
      <c r="B5" s="19" t="n">
        <v>46210</v>
      </c>
      <c r="C5" s="2" t="s">
        <v>575</v>
      </c>
      <c r="D5" s="2" t="s">
        <v>580</v>
      </c>
      <c r="E5" s="2" t="s">
        <v>581</v>
      </c>
      <c r="F5" s="8" t="n">
        <v>92.4</v>
      </c>
      <c r="G5" s="20" t="n">
        <f aca="false">Ipoteze!$B$4</f>
        <v>0.21</v>
      </c>
      <c r="H5" s="8" t="n">
        <f aca="false">ROUND(F5*G5,2)</f>
        <v>19.4</v>
      </c>
      <c r="I5" s="8" t="n">
        <f aca="false">F5+H5</f>
        <v>111.8</v>
      </c>
    </row>
    <row r="6" customFormat="false" ht="15" hidden="false" customHeight="false" outlineLevel="0" collapsed="false">
      <c r="A6" s="2" t="s">
        <v>76</v>
      </c>
      <c r="B6" s="19" t="n">
        <v>46211</v>
      </c>
      <c r="C6" s="2" t="s">
        <v>575</v>
      </c>
      <c r="D6" s="2" t="s">
        <v>582</v>
      </c>
      <c r="E6" s="2" t="s">
        <v>583</v>
      </c>
      <c r="F6" s="8" t="n">
        <v>149</v>
      </c>
      <c r="G6" s="20" t="n">
        <f aca="false">Ipoteze!$B$4</f>
        <v>0.21</v>
      </c>
      <c r="H6" s="8" t="n">
        <f aca="false">ROUND(F6*G6,2)</f>
        <v>31.29</v>
      </c>
      <c r="I6" s="8" t="n">
        <f aca="false">F6+H6</f>
        <v>180.29</v>
      </c>
    </row>
    <row r="7" customFormat="false" ht="15" hidden="false" customHeight="false" outlineLevel="0" collapsed="false">
      <c r="A7" s="2" t="s">
        <v>76</v>
      </c>
      <c r="B7" s="19" t="n">
        <v>46213</v>
      </c>
      <c r="C7" s="2" t="s">
        <v>584</v>
      </c>
      <c r="D7" s="2" t="s">
        <v>585</v>
      </c>
      <c r="E7" s="2" t="s">
        <v>586</v>
      </c>
      <c r="F7" s="8" t="n">
        <v>900</v>
      </c>
      <c r="G7" s="20" t="n">
        <f aca="false">Ipoteze!$B$4</f>
        <v>0.21</v>
      </c>
      <c r="H7" s="8" t="n">
        <f aca="false">ROUND(F7*G7,2)</f>
        <v>189</v>
      </c>
      <c r="I7" s="8" t="n">
        <f aca="false">F7+H7</f>
        <v>1089</v>
      </c>
    </row>
    <row r="8" customFormat="false" ht="15" hidden="false" customHeight="false" outlineLevel="0" collapsed="false">
      <c r="A8" s="2" t="s">
        <v>76</v>
      </c>
      <c r="B8" s="19" t="n">
        <v>46215</v>
      </c>
      <c r="C8" s="2" t="s">
        <v>587</v>
      </c>
      <c r="D8" s="2" t="s">
        <v>588</v>
      </c>
      <c r="E8" s="2" t="s">
        <v>589</v>
      </c>
      <c r="F8" s="8" t="n">
        <v>420</v>
      </c>
      <c r="G8" s="20" t="n">
        <f aca="false">Ipoteze!$B$4</f>
        <v>0.21</v>
      </c>
      <c r="H8" s="8" t="n">
        <f aca="false">ROUND(F8*G8,2)</f>
        <v>88.2</v>
      </c>
      <c r="I8" s="8" t="n">
        <f aca="false">F8+H8</f>
        <v>508.2</v>
      </c>
    </row>
    <row r="9" customFormat="false" ht="15" hidden="false" customHeight="false" outlineLevel="0" collapsed="false">
      <c r="A9" s="2" t="s">
        <v>76</v>
      </c>
      <c r="B9" s="19" t="n">
        <v>46218</v>
      </c>
      <c r="C9" s="2" t="s">
        <v>590</v>
      </c>
      <c r="D9" s="2" t="s">
        <v>591</v>
      </c>
      <c r="E9" s="2" t="s">
        <v>592</v>
      </c>
      <c r="F9" s="8" t="n">
        <v>2100</v>
      </c>
      <c r="G9" s="20" t="n">
        <f aca="false">Ipoteze!$B$4</f>
        <v>0.21</v>
      </c>
      <c r="H9" s="8" t="n">
        <f aca="false">ROUND(F9*G9,2)</f>
        <v>441</v>
      </c>
      <c r="I9" s="8" t="n">
        <f aca="false">F9+H9</f>
        <v>2541</v>
      </c>
    </row>
    <row r="10" customFormat="false" ht="15" hidden="false" customHeight="false" outlineLevel="0" collapsed="false">
      <c r="A10" s="2" t="s">
        <v>76</v>
      </c>
      <c r="B10" s="19" t="n">
        <v>46221</v>
      </c>
      <c r="C10" s="2" t="s">
        <v>593</v>
      </c>
      <c r="D10" s="2" t="s">
        <v>594</v>
      </c>
      <c r="E10" s="2" t="s">
        <v>595</v>
      </c>
      <c r="F10" s="8" t="n">
        <v>1045.2</v>
      </c>
      <c r="G10" s="20" t="n">
        <f aca="false">Ipoteze!$B$4</f>
        <v>0.21</v>
      </c>
      <c r="H10" s="8" t="n">
        <f aca="false">ROUND(F10*G10,2)</f>
        <v>219.49</v>
      </c>
      <c r="I10" s="8" t="n">
        <f aca="false">F10+H10</f>
        <v>1264.69</v>
      </c>
    </row>
    <row r="11" customFormat="false" ht="15" hidden="false" customHeight="false" outlineLevel="0" collapsed="false">
      <c r="A11" s="2" t="s">
        <v>76</v>
      </c>
      <c r="B11" s="19" t="n">
        <v>46223</v>
      </c>
      <c r="C11" s="2" t="s">
        <v>596</v>
      </c>
      <c r="D11" s="2" t="s">
        <v>597</v>
      </c>
      <c r="E11" s="2" t="s">
        <v>598</v>
      </c>
      <c r="F11" s="8" t="n">
        <v>340.5</v>
      </c>
      <c r="G11" s="20" t="n">
        <f aca="false">Ipoteze!$B$4</f>
        <v>0.21</v>
      </c>
      <c r="H11" s="8" t="n">
        <f aca="false">ROUND(F11*G11,2)</f>
        <v>71.51</v>
      </c>
      <c r="I11" s="8" t="n">
        <f aca="false">F11+H11</f>
        <v>412.01</v>
      </c>
    </row>
    <row r="12" customFormat="false" ht="15" hidden="false" customHeight="false" outlineLevel="0" collapsed="false">
      <c r="A12" s="2" t="s">
        <v>76</v>
      </c>
      <c r="B12" s="19" t="n">
        <v>46226</v>
      </c>
      <c r="C12" s="2" t="s">
        <v>599</v>
      </c>
      <c r="D12" s="2" t="s">
        <v>600</v>
      </c>
      <c r="E12" s="2" t="s">
        <v>601</v>
      </c>
      <c r="F12" s="8" t="n">
        <v>620</v>
      </c>
      <c r="G12" s="20" t="n">
        <f aca="false">Ipoteze!$B$4</f>
        <v>0.21</v>
      </c>
      <c r="H12" s="8" t="n">
        <f aca="false">ROUND(F12*G12,2)</f>
        <v>130.2</v>
      </c>
      <c r="I12" s="8" t="n">
        <f aca="false">F12+H12</f>
        <v>750.2</v>
      </c>
    </row>
    <row r="13" customFormat="false" ht="15" hidden="false" customHeight="false" outlineLevel="0" collapsed="false">
      <c r="A13" s="2" t="s">
        <v>76</v>
      </c>
      <c r="B13" s="19" t="n">
        <v>46231</v>
      </c>
      <c r="C13" s="2" t="s">
        <v>602</v>
      </c>
      <c r="D13" s="2" t="s">
        <v>603</v>
      </c>
      <c r="E13" s="2" t="s">
        <v>604</v>
      </c>
      <c r="F13" s="8" t="n">
        <v>58.9</v>
      </c>
      <c r="G13" s="20" t="n">
        <f aca="false">0</f>
        <v>0</v>
      </c>
      <c r="H13" s="8" t="n">
        <f aca="false">ROUND(F13*G13,2)</f>
        <v>0</v>
      </c>
      <c r="I13" s="8" t="n">
        <f aca="false">F13+H13</f>
        <v>58.9</v>
      </c>
    </row>
    <row r="14" customFormat="false" ht="15" hidden="false" customHeight="false" outlineLevel="0" collapsed="false">
      <c r="A14" s="2" t="s">
        <v>224</v>
      </c>
      <c r="B14" s="19" t="n">
        <v>46235</v>
      </c>
      <c r="C14" s="2" t="s">
        <v>572</v>
      </c>
      <c r="D14" s="2" t="s">
        <v>573</v>
      </c>
      <c r="E14" s="2" t="s">
        <v>574</v>
      </c>
      <c r="F14" s="8" t="n">
        <v>6500</v>
      </c>
      <c r="G14" s="20" t="n">
        <f aca="false">Ipoteze!$B$4</f>
        <v>0.21</v>
      </c>
      <c r="H14" s="8" t="n">
        <f aca="false">ROUND(F14*G14,2)</f>
        <v>1365</v>
      </c>
      <c r="I14" s="8" t="n">
        <f aca="false">F14+H14</f>
        <v>7865</v>
      </c>
    </row>
    <row r="15" customFormat="false" ht="15" hidden="false" customHeight="false" outlineLevel="0" collapsed="false">
      <c r="A15" s="2" t="s">
        <v>224</v>
      </c>
      <c r="B15" s="19" t="n">
        <v>46239</v>
      </c>
      <c r="C15" s="2" t="s">
        <v>575</v>
      </c>
      <c r="D15" s="2" t="s">
        <v>605</v>
      </c>
      <c r="E15" s="2" t="s">
        <v>577</v>
      </c>
      <c r="F15" s="8" t="n">
        <v>1612.85</v>
      </c>
      <c r="G15" s="20" t="n">
        <f aca="false">Ipoteze!$B$4</f>
        <v>0.21</v>
      </c>
      <c r="H15" s="8" t="n">
        <f aca="false">ROUND(F15*G15,2)</f>
        <v>338.7</v>
      </c>
      <c r="I15" s="8" t="n">
        <f aca="false">F15+H15</f>
        <v>1951.55</v>
      </c>
    </row>
    <row r="16" customFormat="false" ht="15" hidden="false" customHeight="false" outlineLevel="0" collapsed="false">
      <c r="A16" s="2" t="s">
        <v>224</v>
      </c>
      <c r="B16" s="19" t="n">
        <v>46239</v>
      </c>
      <c r="C16" s="2" t="s">
        <v>575</v>
      </c>
      <c r="D16" s="2" t="s">
        <v>606</v>
      </c>
      <c r="E16" s="2" t="s">
        <v>579</v>
      </c>
      <c r="F16" s="8" t="n">
        <v>221.1</v>
      </c>
      <c r="G16" s="20" t="n">
        <f aca="false">Ipoteze!$B$5</f>
        <v>0.11</v>
      </c>
      <c r="H16" s="8" t="n">
        <f aca="false">ROUND(F16*G16,2)</f>
        <v>24.32</v>
      </c>
      <c r="I16" s="8" t="n">
        <f aca="false">F16+H16</f>
        <v>245.42</v>
      </c>
    </row>
    <row r="17" customFormat="false" ht="15" hidden="false" customHeight="false" outlineLevel="0" collapsed="false">
      <c r="A17" s="2" t="s">
        <v>224</v>
      </c>
      <c r="B17" s="19" t="n">
        <v>46241</v>
      </c>
      <c r="C17" s="2" t="s">
        <v>575</v>
      </c>
      <c r="D17" s="2" t="s">
        <v>607</v>
      </c>
      <c r="E17" s="2" t="s">
        <v>581</v>
      </c>
      <c r="F17" s="8" t="n">
        <v>78.6</v>
      </c>
      <c r="G17" s="20" t="n">
        <f aca="false">Ipoteze!$B$4</f>
        <v>0.21</v>
      </c>
      <c r="H17" s="8" t="n">
        <f aca="false">ROUND(F17*G17,2)</f>
        <v>16.51</v>
      </c>
      <c r="I17" s="8" t="n">
        <f aca="false">F17+H17</f>
        <v>95.11</v>
      </c>
    </row>
    <row r="18" customFormat="false" ht="15" hidden="false" customHeight="false" outlineLevel="0" collapsed="false">
      <c r="A18" s="2" t="s">
        <v>224</v>
      </c>
      <c r="B18" s="19" t="n">
        <v>46242</v>
      </c>
      <c r="C18" s="2" t="s">
        <v>575</v>
      </c>
      <c r="D18" s="2" t="s">
        <v>582</v>
      </c>
      <c r="E18" s="2" t="s">
        <v>583</v>
      </c>
      <c r="F18" s="8" t="n">
        <v>149</v>
      </c>
      <c r="G18" s="20" t="n">
        <f aca="false">Ipoteze!$B$4</f>
        <v>0.21</v>
      </c>
      <c r="H18" s="8" t="n">
        <f aca="false">ROUND(F18*G18,2)</f>
        <v>31.29</v>
      </c>
      <c r="I18" s="8" t="n">
        <f aca="false">F18+H18</f>
        <v>180.29</v>
      </c>
    </row>
    <row r="19" customFormat="false" ht="15" hidden="false" customHeight="false" outlineLevel="0" collapsed="false">
      <c r="A19" s="2" t="s">
        <v>224</v>
      </c>
      <c r="B19" s="19" t="n">
        <v>46244</v>
      </c>
      <c r="C19" s="2" t="s">
        <v>584</v>
      </c>
      <c r="D19" s="2" t="s">
        <v>608</v>
      </c>
      <c r="E19" s="2" t="s">
        <v>586</v>
      </c>
      <c r="F19" s="8" t="n">
        <v>900</v>
      </c>
      <c r="G19" s="20" t="n">
        <f aca="false">Ipoteze!$B$4</f>
        <v>0.21</v>
      </c>
      <c r="H19" s="8" t="n">
        <f aca="false">ROUND(F19*G19,2)</f>
        <v>189</v>
      </c>
      <c r="I19" s="8" t="n">
        <f aca="false">F19+H19</f>
        <v>1089</v>
      </c>
    </row>
    <row r="20" customFormat="false" ht="15" hidden="false" customHeight="false" outlineLevel="0" collapsed="false">
      <c r="A20" s="2" t="s">
        <v>224</v>
      </c>
      <c r="B20" s="19" t="n">
        <v>46246</v>
      </c>
      <c r="C20" s="2" t="s">
        <v>587</v>
      </c>
      <c r="D20" s="2" t="s">
        <v>588</v>
      </c>
      <c r="E20" s="2" t="s">
        <v>589</v>
      </c>
      <c r="F20" s="8" t="n">
        <v>420</v>
      </c>
      <c r="G20" s="20" t="n">
        <f aca="false">Ipoteze!$B$4</f>
        <v>0.21</v>
      </c>
      <c r="H20" s="8" t="n">
        <f aca="false">ROUND(F20*G20,2)</f>
        <v>88.2</v>
      </c>
      <c r="I20" s="8" t="n">
        <f aca="false">F20+H20</f>
        <v>508.2</v>
      </c>
    </row>
    <row r="21" customFormat="false" ht="15" hidden="false" customHeight="false" outlineLevel="0" collapsed="false">
      <c r="A21" s="2" t="s">
        <v>224</v>
      </c>
      <c r="B21" s="19" t="n">
        <v>46248</v>
      </c>
      <c r="C21" s="2" t="s">
        <v>590</v>
      </c>
      <c r="D21" s="2" t="s">
        <v>609</v>
      </c>
      <c r="E21" s="2" t="s">
        <v>592</v>
      </c>
      <c r="F21" s="8" t="n">
        <v>2650</v>
      </c>
      <c r="G21" s="20" t="n">
        <f aca="false">Ipoteze!$B$4</f>
        <v>0.21</v>
      </c>
      <c r="H21" s="8" t="n">
        <f aca="false">ROUND(F21*G21,2)</f>
        <v>556.5</v>
      </c>
      <c r="I21" s="8" t="n">
        <f aca="false">F21+H21</f>
        <v>3206.5</v>
      </c>
    </row>
    <row r="22" customFormat="false" ht="15" hidden="false" customHeight="false" outlineLevel="0" collapsed="false">
      <c r="A22" s="2" t="s">
        <v>224</v>
      </c>
      <c r="B22" s="19" t="n">
        <v>46252</v>
      </c>
      <c r="C22" s="2" t="s">
        <v>593</v>
      </c>
      <c r="D22" s="2" t="s">
        <v>594</v>
      </c>
      <c r="E22" s="2" t="s">
        <v>595</v>
      </c>
      <c r="F22" s="8" t="n">
        <v>985.7</v>
      </c>
      <c r="G22" s="20" t="n">
        <f aca="false">Ipoteze!$B$4</f>
        <v>0.21</v>
      </c>
      <c r="H22" s="8" t="n">
        <f aca="false">ROUND(F22*G22,2)</f>
        <v>207</v>
      </c>
      <c r="I22" s="8" t="n">
        <f aca="false">F22+H22</f>
        <v>1192.7</v>
      </c>
    </row>
    <row r="23" customFormat="false" ht="15" hidden="false" customHeight="false" outlineLevel="0" collapsed="false">
      <c r="A23" s="2" t="s">
        <v>224</v>
      </c>
      <c r="B23" s="19" t="n">
        <v>46254</v>
      </c>
      <c r="C23" s="2" t="s">
        <v>596</v>
      </c>
      <c r="D23" s="2" t="s">
        <v>597</v>
      </c>
      <c r="E23" s="2" t="s">
        <v>598</v>
      </c>
      <c r="F23" s="8" t="n">
        <v>310.25</v>
      </c>
      <c r="G23" s="20" t="n">
        <f aca="false">Ipoteze!$B$4</f>
        <v>0.21</v>
      </c>
      <c r="H23" s="8" t="n">
        <f aca="false">ROUND(F23*G23,2)</f>
        <v>65.15</v>
      </c>
      <c r="I23" s="8" t="n">
        <f aca="false">F23+H23</f>
        <v>375.4</v>
      </c>
    </row>
    <row r="24" customFormat="false" ht="15" hidden="false" customHeight="false" outlineLevel="0" collapsed="false">
      <c r="A24" s="2" t="s">
        <v>224</v>
      </c>
      <c r="B24" s="19" t="n">
        <v>46258</v>
      </c>
      <c r="C24" s="2" t="s">
        <v>610</v>
      </c>
      <c r="D24" s="2" t="s">
        <v>611</v>
      </c>
      <c r="E24" s="2" t="s">
        <v>612</v>
      </c>
      <c r="F24" s="8" t="n">
        <v>780</v>
      </c>
      <c r="G24" s="20" t="n">
        <f aca="false">Ipoteze!$B$4</f>
        <v>0.21</v>
      </c>
      <c r="H24" s="8" t="n">
        <f aca="false">ROUND(F24*G24,2)</f>
        <v>163.8</v>
      </c>
      <c r="I24" s="8" t="n">
        <f aca="false">F24+H24</f>
        <v>943.8</v>
      </c>
    </row>
    <row r="25" customFormat="false" ht="15" hidden="false" customHeight="false" outlineLevel="0" collapsed="false">
      <c r="A25" s="2" t="s">
        <v>224</v>
      </c>
      <c r="B25" s="19" t="n">
        <v>46262</v>
      </c>
      <c r="C25" s="2" t="s">
        <v>602</v>
      </c>
      <c r="D25" s="2" t="s">
        <v>603</v>
      </c>
      <c r="E25" s="2" t="s">
        <v>604</v>
      </c>
      <c r="F25" s="8" t="n">
        <v>55.4</v>
      </c>
      <c r="G25" s="20" t="n">
        <f aca="false">0</f>
        <v>0</v>
      </c>
      <c r="H25" s="8" t="n">
        <f aca="false">ROUND(F25*G25,2)</f>
        <v>0</v>
      </c>
      <c r="I25" s="8" t="n">
        <f aca="false">F25+H25</f>
        <v>55.4</v>
      </c>
    </row>
    <row r="26" customFormat="false" ht="15" hidden="false" customHeight="false" outlineLevel="0" collapsed="false">
      <c r="A26" s="2" t="s">
        <v>343</v>
      </c>
      <c r="B26" s="19" t="n">
        <v>46266</v>
      </c>
      <c r="C26" s="2" t="s">
        <v>572</v>
      </c>
      <c r="D26" s="2" t="s">
        <v>573</v>
      </c>
      <c r="E26" s="2" t="s">
        <v>574</v>
      </c>
      <c r="F26" s="8" t="n">
        <v>6500</v>
      </c>
      <c r="G26" s="20" t="n">
        <f aca="false">Ipoteze!$B$4</f>
        <v>0.21</v>
      </c>
      <c r="H26" s="8" t="n">
        <f aca="false">ROUND(F26*G26,2)</f>
        <v>1365</v>
      </c>
      <c r="I26" s="8" t="n">
        <f aca="false">F26+H26</f>
        <v>7865</v>
      </c>
    </row>
    <row r="27" customFormat="false" ht="15" hidden="false" customHeight="false" outlineLevel="0" collapsed="false">
      <c r="A27" s="2" t="s">
        <v>343</v>
      </c>
      <c r="B27" s="19" t="n">
        <v>46270</v>
      </c>
      <c r="C27" s="2" t="s">
        <v>575</v>
      </c>
      <c r="D27" s="2" t="s">
        <v>613</v>
      </c>
      <c r="E27" s="2" t="s">
        <v>577</v>
      </c>
      <c r="F27" s="8" t="n">
        <v>1340.75</v>
      </c>
      <c r="G27" s="20" t="n">
        <f aca="false">Ipoteze!$B$4</f>
        <v>0.21</v>
      </c>
      <c r="H27" s="8" t="n">
        <f aca="false">ROUND(F27*G27,2)</f>
        <v>281.56</v>
      </c>
      <c r="I27" s="8" t="n">
        <f aca="false">F27+H27</f>
        <v>1622.31</v>
      </c>
    </row>
    <row r="28" customFormat="false" ht="15" hidden="false" customHeight="false" outlineLevel="0" collapsed="false">
      <c r="A28" s="2" t="s">
        <v>343</v>
      </c>
      <c r="B28" s="19" t="n">
        <v>46270</v>
      </c>
      <c r="C28" s="2" t="s">
        <v>575</v>
      </c>
      <c r="D28" s="2" t="s">
        <v>614</v>
      </c>
      <c r="E28" s="2" t="s">
        <v>579</v>
      </c>
      <c r="F28" s="8" t="n">
        <v>210.4</v>
      </c>
      <c r="G28" s="20" t="n">
        <f aca="false">Ipoteze!$B$5</f>
        <v>0.11</v>
      </c>
      <c r="H28" s="8" t="n">
        <f aca="false">ROUND(F28*G28,2)</f>
        <v>23.14</v>
      </c>
      <c r="I28" s="8" t="n">
        <f aca="false">F28+H28</f>
        <v>233.54</v>
      </c>
    </row>
    <row r="29" customFormat="false" ht="15" hidden="false" customHeight="false" outlineLevel="0" collapsed="false">
      <c r="A29" s="2" t="s">
        <v>343</v>
      </c>
      <c r="B29" s="19" t="n">
        <v>46272</v>
      </c>
      <c r="C29" s="2" t="s">
        <v>575</v>
      </c>
      <c r="D29" s="2" t="s">
        <v>615</v>
      </c>
      <c r="E29" s="2" t="s">
        <v>581</v>
      </c>
      <c r="F29" s="8" t="n">
        <v>185.2</v>
      </c>
      <c r="G29" s="20" t="n">
        <f aca="false">Ipoteze!$B$4</f>
        <v>0.21</v>
      </c>
      <c r="H29" s="8" t="n">
        <f aca="false">ROUND(F29*G29,2)</f>
        <v>38.89</v>
      </c>
      <c r="I29" s="8" t="n">
        <f aca="false">F29+H29</f>
        <v>224.09</v>
      </c>
    </row>
    <row r="30" customFormat="false" ht="15" hidden="false" customHeight="false" outlineLevel="0" collapsed="false">
      <c r="A30" s="2" t="s">
        <v>343</v>
      </c>
      <c r="B30" s="19" t="n">
        <v>46273</v>
      </c>
      <c r="C30" s="2" t="s">
        <v>575</v>
      </c>
      <c r="D30" s="2" t="s">
        <v>582</v>
      </c>
      <c r="E30" s="2" t="s">
        <v>583</v>
      </c>
      <c r="F30" s="8" t="n">
        <v>149</v>
      </c>
      <c r="G30" s="20" t="n">
        <f aca="false">Ipoteze!$B$4</f>
        <v>0.21</v>
      </c>
      <c r="H30" s="8" t="n">
        <f aca="false">ROUND(F30*G30,2)</f>
        <v>31.29</v>
      </c>
      <c r="I30" s="8" t="n">
        <f aca="false">F30+H30</f>
        <v>180.29</v>
      </c>
    </row>
    <row r="31" customFormat="false" ht="15" hidden="false" customHeight="false" outlineLevel="0" collapsed="false">
      <c r="A31" s="2" t="s">
        <v>343</v>
      </c>
      <c r="B31" s="19" t="n">
        <v>46275</v>
      </c>
      <c r="C31" s="2" t="s">
        <v>584</v>
      </c>
      <c r="D31" s="2" t="s">
        <v>616</v>
      </c>
      <c r="E31" s="2" t="s">
        <v>586</v>
      </c>
      <c r="F31" s="8" t="n">
        <v>900</v>
      </c>
      <c r="G31" s="20" t="n">
        <f aca="false">Ipoteze!$B$4</f>
        <v>0.21</v>
      </c>
      <c r="H31" s="8" t="n">
        <f aca="false">ROUND(F31*G31,2)</f>
        <v>189</v>
      </c>
      <c r="I31" s="8" t="n">
        <f aca="false">F31+H31</f>
        <v>1089</v>
      </c>
    </row>
    <row r="32" customFormat="false" ht="15" hidden="false" customHeight="false" outlineLevel="0" collapsed="false">
      <c r="A32" s="2" t="s">
        <v>343</v>
      </c>
      <c r="B32" s="19" t="n">
        <v>46277</v>
      </c>
      <c r="C32" s="2" t="s">
        <v>587</v>
      </c>
      <c r="D32" s="2" t="s">
        <v>588</v>
      </c>
      <c r="E32" s="2" t="s">
        <v>589</v>
      </c>
      <c r="F32" s="8" t="n">
        <v>420</v>
      </c>
      <c r="G32" s="20" t="n">
        <f aca="false">Ipoteze!$B$4</f>
        <v>0.21</v>
      </c>
      <c r="H32" s="8" t="n">
        <f aca="false">ROUND(F32*G32,2)</f>
        <v>88.2</v>
      </c>
      <c r="I32" s="8" t="n">
        <f aca="false">F32+H32</f>
        <v>508.2</v>
      </c>
    </row>
    <row r="33" customFormat="false" ht="15" hidden="false" customHeight="false" outlineLevel="0" collapsed="false">
      <c r="A33" s="2" t="s">
        <v>343</v>
      </c>
      <c r="B33" s="19" t="n">
        <v>46280</v>
      </c>
      <c r="C33" s="2" t="s">
        <v>590</v>
      </c>
      <c r="D33" s="2" t="s">
        <v>617</v>
      </c>
      <c r="E33" s="2" t="s">
        <v>592</v>
      </c>
      <c r="F33" s="8" t="n">
        <v>2300</v>
      </c>
      <c r="G33" s="20" t="n">
        <f aca="false">Ipoteze!$B$4</f>
        <v>0.21</v>
      </c>
      <c r="H33" s="8" t="n">
        <f aca="false">ROUND(F33*G33,2)</f>
        <v>483</v>
      </c>
      <c r="I33" s="8" t="n">
        <f aca="false">F33+H33</f>
        <v>2783</v>
      </c>
    </row>
    <row r="34" customFormat="false" ht="15" hidden="false" customHeight="false" outlineLevel="0" collapsed="false">
      <c r="A34" s="2" t="s">
        <v>343</v>
      </c>
      <c r="B34" s="19" t="n">
        <v>46283</v>
      </c>
      <c r="C34" s="2" t="s">
        <v>593</v>
      </c>
      <c r="D34" s="2" t="s">
        <v>594</v>
      </c>
      <c r="E34" s="2" t="s">
        <v>595</v>
      </c>
      <c r="F34" s="8" t="n">
        <v>1120.5</v>
      </c>
      <c r="G34" s="20" t="n">
        <f aca="false">Ipoteze!$B$4</f>
        <v>0.21</v>
      </c>
      <c r="H34" s="8" t="n">
        <f aca="false">ROUND(F34*G34,2)</f>
        <v>235.31</v>
      </c>
      <c r="I34" s="8" t="n">
        <f aca="false">F34+H34</f>
        <v>1355.81</v>
      </c>
    </row>
    <row r="35" customFormat="false" ht="15" hidden="false" customHeight="false" outlineLevel="0" collapsed="false">
      <c r="A35" s="2" t="s">
        <v>343</v>
      </c>
      <c r="B35" s="19" t="n">
        <v>46285</v>
      </c>
      <c r="C35" s="2" t="s">
        <v>596</v>
      </c>
      <c r="D35" s="2" t="s">
        <v>597</v>
      </c>
      <c r="E35" s="2" t="s">
        <v>598</v>
      </c>
      <c r="F35" s="8" t="n">
        <v>365.8</v>
      </c>
      <c r="G35" s="20" t="n">
        <f aca="false">Ipoteze!$B$4</f>
        <v>0.21</v>
      </c>
      <c r="H35" s="8" t="n">
        <f aca="false">ROUND(F35*G35,2)</f>
        <v>76.82</v>
      </c>
      <c r="I35" s="8" t="n">
        <f aca="false">F35+H35</f>
        <v>442.62</v>
      </c>
    </row>
    <row r="36" customFormat="false" ht="15" hidden="false" customHeight="false" outlineLevel="0" collapsed="false">
      <c r="A36" s="2" t="s">
        <v>343</v>
      </c>
      <c r="B36" s="19" t="n">
        <v>46290</v>
      </c>
      <c r="C36" s="2" t="s">
        <v>599</v>
      </c>
      <c r="D36" s="2" t="s">
        <v>618</v>
      </c>
      <c r="E36" s="2" t="s">
        <v>619</v>
      </c>
      <c r="F36" s="8" t="n">
        <v>450</v>
      </c>
      <c r="G36" s="20" t="n">
        <f aca="false">Ipoteze!$B$4</f>
        <v>0.21</v>
      </c>
      <c r="H36" s="8" t="n">
        <f aca="false">ROUND(F36*G36,2)</f>
        <v>94.5</v>
      </c>
      <c r="I36" s="8" t="n">
        <f aca="false">F36+H36</f>
        <v>544.5</v>
      </c>
    </row>
    <row r="37" customFormat="false" ht="15" hidden="false" customHeight="false" outlineLevel="0" collapsed="false">
      <c r="A37" s="2" t="s">
        <v>343</v>
      </c>
      <c r="B37" s="19" t="n">
        <v>46293</v>
      </c>
      <c r="C37" s="2" t="s">
        <v>602</v>
      </c>
      <c r="D37" s="2" t="s">
        <v>603</v>
      </c>
      <c r="E37" s="2" t="s">
        <v>604</v>
      </c>
      <c r="F37" s="8" t="n">
        <v>62.3</v>
      </c>
      <c r="G37" s="20" t="n">
        <f aca="false">0</f>
        <v>0</v>
      </c>
      <c r="H37" s="8" t="n">
        <f aca="false">ROUND(F37*G37,2)</f>
        <v>0</v>
      </c>
      <c r="I37" s="8" t="n">
        <f aca="false">F37+H37</f>
        <v>62.3</v>
      </c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16" t="s">
        <v>620</v>
      </c>
      <c r="B39" s="2"/>
      <c r="C39" s="2"/>
      <c r="D39" s="2"/>
      <c r="E39" s="2"/>
      <c r="F39" s="2"/>
      <c r="G39" s="2"/>
      <c r="H39" s="2"/>
      <c r="I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4" t="s">
        <v>60</v>
      </c>
      <c r="B1" s="4" t="s">
        <v>621</v>
      </c>
      <c r="C1" s="4" t="s">
        <v>622</v>
      </c>
      <c r="D1" s="4" t="s">
        <v>623</v>
      </c>
      <c r="E1" s="4" t="s">
        <v>624</v>
      </c>
      <c r="F1" s="4" t="s">
        <v>625</v>
      </c>
      <c r="G1" s="4" t="s">
        <v>626</v>
      </c>
      <c r="H1" s="4" t="s">
        <v>627</v>
      </c>
      <c r="I1" s="4" t="s">
        <v>628</v>
      </c>
      <c r="J1" s="4" t="s">
        <v>629</v>
      </c>
      <c r="K1" s="4" t="s">
        <v>630</v>
      </c>
      <c r="L1" s="4" t="s">
        <v>631</v>
      </c>
    </row>
    <row r="2" customFormat="false" ht="15" hidden="false" customHeight="false" outlineLevel="0" collapsed="false">
      <c r="A2" s="2" t="s">
        <v>76</v>
      </c>
      <c r="B2" s="2" t="s">
        <v>632</v>
      </c>
      <c r="C2" s="2" t="s">
        <v>633</v>
      </c>
      <c r="D2" s="2" t="n">
        <v>23</v>
      </c>
      <c r="E2" s="21" t="n">
        <v>9500</v>
      </c>
      <c r="F2" s="14" t="n">
        <f aca="false">ROUND(E2*Ipoteze!$B$6,0)</f>
        <v>2375</v>
      </c>
      <c r="G2" s="14" t="n">
        <f aca="false">ROUND(E2*Ipoteze!$B$7,0)</f>
        <v>950</v>
      </c>
      <c r="H2" s="14" t="n">
        <f aca="false">E2-F2-G2</f>
        <v>6175</v>
      </c>
      <c r="I2" s="14" t="n">
        <f aca="false">ROUND(H2*Ipoteze!$B$8,0)</f>
        <v>618</v>
      </c>
      <c r="J2" s="14" t="n">
        <f aca="false">H2-I2</f>
        <v>5557</v>
      </c>
      <c r="K2" s="14" t="n">
        <f aca="false">ROUND(E2*Ipoteze!$B$9,0)</f>
        <v>214</v>
      </c>
      <c r="L2" s="14" t="n">
        <f aca="false">E2+K2</f>
        <v>9714</v>
      </c>
    </row>
    <row r="3" customFormat="false" ht="15" hidden="false" customHeight="false" outlineLevel="0" collapsed="false">
      <c r="A3" s="2" t="s">
        <v>76</v>
      </c>
      <c r="B3" s="2" t="s">
        <v>634</v>
      </c>
      <c r="C3" s="2" t="s">
        <v>635</v>
      </c>
      <c r="D3" s="2" t="n">
        <v>23</v>
      </c>
      <c r="E3" s="21" t="n">
        <v>6200</v>
      </c>
      <c r="F3" s="14" t="n">
        <f aca="false">ROUND(E3*Ipoteze!$B$6,0)</f>
        <v>1550</v>
      </c>
      <c r="G3" s="14" t="n">
        <f aca="false">ROUND(E3*Ipoteze!$B$7,0)</f>
        <v>620</v>
      </c>
      <c r="H3" s="14" t="n">
        <f aca="false">E3-F3-G3</f>
        <v>4030</v>
      </c>
      <c r="I3" s="14" t="n">
        <f aca="false">ROUND(H3*Ipoteze!$B$8,0)</f>
        <v>403</v>
      </c>
      <c r="J3" s="14" t="n">
        <f aca="false">H3-I3</f>
        <v>3627</v>
      </c>
      <c r="K3" s="14" t="n">
        <f aca="false">ROUND(E3*Ipoteze!$B$9,0)</f>
        <v>140</v>
      </c>
      <c r="L3" s="14" t="n">
        <f aca="false">E3+K3</f>
        <v>6340</v>
      </c>
    </row>
    <row r="4" customFormat="false" ht="15" hidden="false" customHeight="false" outlineLevel="0" collapsed="false">
      <c r="A4" s="2" t="s">
        <v>76</v>
      </c>
      <c r="B4" s="2" t="s">
        <v>636</v>
      </c>
      <c r="C4" s="2" t="s">
        <v>637</v>
      </c>
      <c r="D4" s="2" t="n">
        <v>23</v>
      </c>
      <c r="E4" s="21" t="n">
        <v>5000</v>
      </c>
      <c r="F4" s="14" t="n">
        <f aca="false">ROUND(E4*Ipoteze!$B$6,0)</f>
        <v>1250</v>
      </c>
      <c r="G4" s="14" t="n">
        <f aca="false">ROUND(E4*Ipoteze!$B$7,0)</f>
        <v>500</v>
      </c>
      <c r="H4" s="14" t="n">
        <f aca="false">E4-F4-G4</f>
        <v>3250</v>
      </c>
      <c r="I4" s="14" t="n">
        <f aca="false">ROUND(H4*Ipoteze!$B$8,0)</f>
        <v>325</v>
      </c>
      <c r="J4" s="14" t="n">
        <f aca="false">H4-I4</f>
        <v>2925</v>
      </c>
      <c r="K4" s="14" t="n">
        <f aca="false">ROUND(E4*Ipoteze!$B$9,0)</f>
        <v>113</v>
      </c>
      <c r="L4" s="14" t="n">
        <f aca="false">E4+K4</f>
        <v>5113</v>
      </c>
    </row>
    <row r="5" customFormat="false" ht="15" hidden="false" customHeight="false" outlineLevel="0" collapsed="false">
      <c r="A5" s="2" t="s">
        <v>76</v>
      </c>
      <c r="B5" s="2" t="s">
        <v>638</v>
      </c>
      <c r="C5" s="2" t="s">
        <v>637</v>
      </c>
      <c r="D5" s="2" t="n">
        <v>23</v>
      </c>
      <c r="E5" s="21" t="n">
        <v>5000</v>
      </c>
      <c r="F5" s="14" t="n">
        <f aca="false">ROUND(E5*Ipoteze!$B$6,0)</f>
        <v>1250</v>
      </c>
      <c r="G5" s="14" t="n">
        <f aca="false">ROUND(E5*Ipoteze!$B$7,0)</f>
        <v>500</v>
      </c>
      <c r="H5" s="14" t="n">
        <f aca="false">E5-F5-G5</f>
        <v>3250</v>
      </c>
      <c r="I5" s="14" t="n">
        <f aca="false">ROUND(H5*Ipoteze!$B$8,0)</f>
        <v>325</v>
      </c>
      <c r="J5" s="14" t="n">
        <f aca="false">H5-I5</f>
        <v>2925</v>
      </c>
      <c r="K5" s="14" t="n">
        <f aca="false">ROUND(E5*Ipoteze!$B$9,0)</f>
        <v>113</v>
      </c>
      <c r="L5" s="14" t="n">
        <f aca="false">E5+K5</f>
        <v>5113</v>
      </c>
    </row>
    <row r="6" customFormat="false" ht="15" hidden="false" customHeight="false" outlineLevel="0" collapsed="false">
      <c r="A6" s="2" t="s">
        <v>76</v>
      </c>
      <c r="B6" s="2" t="s">
        <v>639</v>
      </c>
      <c r="C6" s="2" t="s">
        <v>640</v>
      </c>
      <c r="D6" s="2" t="n">
        <v>23</v>
      </c>
      <c r="E6" s="21" t="n">
        <v>4325</v>
      </c>
      <c r="F6" s="14" t="n">
        <f aca="false">ROUND(E6*Ipoteze!$B$6,0)</f>
        <v>1081</v>
      </c>
      <c r="G6" s="14" t="n">
        <f aca="false">ROUND(E6*Ipoteze!$B$7,0)</f>
        <v>433</v>
      </c>
      <c r="H6" s="14" t="n">
        <f aca="false">E6-F6-G6</f>
        <v>2811</v>
      </c>
      <c r="I6" s="14" t="n">
        <f aca="false">ROUND(H6*Ipoteze!$B$8,0)</f>
        <v>281</v>
      </c>
      <c r="J6" s="14" t="n">
        <f aca="false">H6-I6</f>
        <v>2530</v>
      </c>
      <c r="K6" s="14" t="n">
        <f aca="false">ROUND(E6*Ipoteze!$B$9,0)</f>
        <v>97</v>
      </c>
      <c r="L6" s="14" t="n">
        <f aca="false">E6+K6</f>
        <v>4422</v>
      </c>
    </row>
    <row r="7" customFormat="false" ht="15" hidden="false" customHeight="false" outlineLevel="0" collapsed="false">
      <c r="A7" s="2" t="s">
        <v>76</v>
      </c>
      <c r="B7" s="2" t="s">
        <v>641</v>
      </c>
      <c r="C7" s="2" t="s">
        <v>642</v>
      </c>
      <c r="D7" s="2" t="n">
        <v>23</v>
      </c>
      <c r="E7" s="21" t="n">
        <v>4500</v>
      </c>
      <c r="F7" s="14" t="n">
        <f aca="false">ROUND(E7*Ipoteze!$B$6,0)</f>
        <v>1125</v>
      </c>
      <c r="G7" s="14" t="n">
        <f aca="false">ROUND(E7*Ipoteze!$B$7,0)</f>
        <v>450</v>
      </c>
      <c r="H7" s="14" t="n">
        <f aca="false">E7-F7-G7</f>
        <v>2925</v>
      </c>
      <c r="I7" s="14" t="n">
        <f aca="false">ROUND(H7*Ipoteze!$B$8,0)</f>
        <v>293</v>
      </c>
      <c r="J7" s="14" t="n">
        <f aca="false">H7-I7</f>
        <v>2632</v>
      </c>
      <c r="K7" s="14" t="n">
        <f aca="false">ROUND(E7*Ipoteze!$B$9,0)</f>
        <v>101</v>
      </c>
      <c r="L7" s="14" t="n">
        <f aca="false">E7+K7</f>
        <v>4601</v>
      </c>
    </row>
    <row r="8" customFormat="false" ht="15" hidden="false" customHeight="false" outlineLevel="0" collapsed="false">
      <c r="A8" s="2" t="s">
        <v>224</v>
      </c>
      <c r="B8" s="2" t="s">
        <v>632</v>
      </c>
      <c r="C8" s="2" t="s">
        <v>633</v>
      </c>
      <c r="D8" s="2" t="n">
        <v>21</v>
      </c>
      <c r="E8" s="21" t="n">
        <v>9500</v>
      </c>
      <c r="F8" s="14" t="n">
        <f aca="false">ROUND(E8*Ipoteze!$B$6,0)</f>
        <v>2375</v>
      </c>
      <c r="G8" s="14" t="n">
        <f aca="false">ROUND(E8*Ipoteze!$B$7,0)</f>
        <v>950</v>
      </c>
      <c r="H8" s="14" t="n">
        <f aca="false">E8-F8-G8</f>
        <v>6175</v>
      </c>
      <c r="I8" s="14" t="n">
        <f aca="false">ROUND(H8*Ipoteze!$B$8,0)</f>
        <v>618</v>
      </c>
      <c r="J8" s="14" t="n">
        <f aca="false">H8-I8</f>
        <v>5557</v>
      </c>
      <c r="K8" s="14" t="n">
        <f aca="false">ROUND(E8*Ipoteze!$B$9,0)</f>
        <v>214</v>
      </c>
      <c r="L8" s="14" t="n">
        <f aca="false">E8+K8</f>
        <v>9714</v>
      </c>
    </row>
    <row r="9" customFormat="false" ht="15" hidden="false" customHeight="false" outlineLevel="0" collapsed="false">
      <c r="A9" s="2" t="s">
        <v>224</v>
      </c>
      <c r="B9" s="2" t="s">
        <v>634</v>
      </c>
      <c r="C9" s="2" t="s">
        <v>635</v>
      </c>
      <c r="D9" s="2" t="n">
        <v>21</v>
      </c>
      <c r="E9" s="21" t="n">
        <v>6200</v>
      </c>
      <c r="F9" s="14" t="n">
        <f aca="false">ROUND(E9*Ipoteze!$B$6,0)</f>
        <v>1550</v>
      </c>
      <c r="G9" s="14" t="n">
        <f aca="false">ROUND(E9*Ipoteze!$B$7,0)</f>
        <v>620</v>
      </c>
      <c r="H9" s="14" t="n">
        <f aca="false">E9-F9-G9</f>
        <v>4030</v>
      </c>
      <c r="I9" s="14" t="n">
        <f aca="false">ROUND(H9*Ipoteze!$B$8,0)</f>
        <v>403</v>
      </c>
      <c r="J9" s="14" t="n">
        <f aca="false">H9-I9</f>
        <v>3627</v>
      </c>
      <c r="K9" s="14" t="n">
        <f aca="false">ROUND(E9*Ipoteze!$B$9,0)</f>
        <v>140</v>
      </c>
      <c r="L9" s="14" t="n">
        <f aca="false">E9+K9</f>
        <v>6340</v>
      </c>
    </row>
    <row r="10" customFormat="false" ht="15" hidden="false" customHeight="false" outlineLevel="0" collapsed="false">
      <c r="A10" s="2" t="s">
        <v>224</v>
      </c>
      <c r="B10" s="2" t="s">
        <v>636</v>
      </c>
      <c r="C10" s="2" t="s">
        <v>637</v>
      </c>
      <c r="D10" s="2" t="n">
        <v>21</v>
      </c>
      <c r="E10" s="21" t="n">
        <v>5000</v>
      </c>
      <c r="F10" s="14" t="n">
        <f aca="false">ROUND(E10*Ipoteze!$B$6,0)</f>
        <v>1250</v>
      </c>
      <c r="G10" s="14" t="n">
        <f aca="false">ROUND(E10*Ipoteze!$B$7,0)</f>
        <v>500</v>
      </c>
      <c r="H10" s="14" t="n">
        <f aca="false">E10-F10-G10</f>
        <v>3250</v>
      </c>
      <c r="I10" s="14" t="n">
        <f aca="false">ROUND(H10*Ipoteze!$B$8,0)</f>
        <v>325</v>
      </c>
      <c r="J10" s="14" t="n">
        <f aca="false">H10-I10</f>
        <v>2925</v>
      </c>
      <c r="K10" s="14" t="n">
        <f aca="false">ROUND(E10*Ipoteze!$B$9,0)</f>
        <v>113</v>
      </c>
      <c r="L10" s="14" t="n">
        <f aca="false">E10+K10</f>
        <v>5113</v>
      </c>
    </row>
    <row r="11" customFormat="false" ht="15" hidden="false" customHeight="false" outlineLevel="0" collapsed="false">
      <c r="A11" s="2" t="s">
        <v>224</v>
      </c>
      <c r="B11" s="2" t="s">
        <v>638</v>
      </c>
      <c r="C11" s="2" t="s">
        <v>637</v>
      </c>
      <c r="D11" s="2" t="n">
        <v>21</v>
      </c>
      <c r="E11" s="21" t="n">
        <v>5000</v>
      </c>
      <c r="F11" s="14" t="n">
        <f aca="false">ROUND(E11*Ipoteze!$B$6,0)</f>
        <v>1250</v>
      </c>
      <c r="G11" s="14" t="n">
        <f aca="false">ROUND(E11*Ipoteze!$B$7,0)</f>
        <v>500</v>
      </c>
      <c r="H11" s="14" t="n">
        <f aca="false">E11-F11-G11</f>
        <v>3250</v>
      </c>
      <c r="I11" s="14" t="n">
        <f aca="false">ROUND(H11*Ipoteze!$B$8,0)</f>
        <v>325</v>
      </c>
      <c r="J11" s="14" t="n">
        <f aca="false">H11-I11</f>
        <v>2925</v>
      </c>
      <c r="K11" s="14" t="n">
        <f aca="false">ROUND(E11*Ipoteze!$B$9,0)</f>
        <v>113</v>
      </c>
      <c r="L11" s="14" t="n">
        <f aca="false">E11+K11</f>
        <v>5113</v>
      </c>
    </row>
    <row r="12" customFormat="false" ht="15" hidden="false" customHeight="false" outlineLevel="0" collapsed="false">
      <c r="A12" s="2" t="s">
        <v>224</v>
      </c>
      <c r="B12" s="2" t="s">
        <v>639</v>
      </c>
      <c r="C12" s="2" t="s">
        <v>640</v>
      </c>
      <c r="D12" s="2" t="n">
        <v>21</v>
      </c>
      <c r="E12" s="21" t="n">
        <v>4325</v>
      </c>
      <c r="F12" s="14" t="n">
        <f aca="false">ROUND(E12*Ipoteze!$B$6,0)</f>
        <v>1081</v>
      </c>
      <c r="G12" s="14" t="n">
        <f aca="false">ROUND(E12*Ipoteze!$B$7,0)</f>
        <v>433</v>
      </c>
      <c r="H12" s="14" t="n">
        <f aca="false">E12-F12-G12</f>
        <v>2811</v>
      </c>
      <c r="I12" s="14" t="n">
        <f aca="false">ROUND(H12*Ipoteze!$B$8,0)</f>
        <v>281</v>
      </c>
      <c r="J12" s="14" t="n">
        <f aca="false">H12-I12</f>
        <v>2530</v>
      </c>
      <c r="K12" s="14" t="n">
        <f aca="false">ROUND(E12*Ipoteze!$B$9,0)</f>
        <v>97</v>
      </c>
      <c r="L12" s="14" t="n">
        <f aca="false">E12+K12</f>
        <v>4422</v>
      </c>
    </row>
    <row r="13" customFormat="false" ht="15" hidden="false" customHeight="false" outlineLevel="0" collapsed="false">
      <c r="A13" s="2" t="s">
        <v>224</v>
      </c>
      <c r="B13" s="2" t="s">
        <v>641</v>
      </c>
      <c r="C13" s="2" t="s">
        <v>642</v>
      </c>
      <c r="D13" s="2" t="n">
        <v>21</v>
      </c>
      <c r="E13" s="21" t="n">
        <v>4500</v>
      </c>
      <c r="F13" s="14" t="n">
        <f aca="false">ROUND(E13*Ipoteze!$B$6,0)</f>
        <v>1125</v>
      </c>
      <c r="G13" s="14" t="n">
        <f aca="false">ROUND(E13*Ipoteze!$B$7,0)</f>
        <v>450</v>
      </c>
      <c r="H13" s="14" t="n">
        <f aca="false">E13-F13-G13</f>
        <v>2925</v>
      </c>
      <c r="I13" s="14" t="n">
        <f aca="false">ROUND(H13*Ipoteze!$B$8,0)</f>
        <v>293</v>
      </c>
      <c r="J13" s="14" t="n">
        <f aca="false">H13-I13</f>
        <v>2632</v>
      </c>
      <c r="K13" s="14" t="n">
        <f aca="false">ROUND(E13*Ipoteze!$B$9,0)</f>
        <v>101</v>
      </c>
      <c r="L13" s="14" t="n">
        <f aca="false">E13+K13</f>
        <v>4601</v>
      </c>
    </row>
    <row r="14" customFormat="false" ht="15" hidden="false" customHeight="false" outlineLevel="0" collapsed="false">
      <c r="A14" s="2" t="s">
        <v>343</v>
      </c>
      <c r="B14" s="2" t="s">
        <v>632</v>
      </c>
      <c r="C14" s="2" t="s">
        <v>633</v>
      </c>
      <c r="D14" s="2" t="n">
        <v>22</v>
      </c>
      <c r="E14" s="21" t="n">
        <v>9500</v>
      </c>
      <c r="F14" s="14" t="n">
        <f aca="false">ROUND(E14*Ipoteze!$B$6,0)</f>
        <v>2375</v>
      </c>
      <c r="G14" s="14" t="n">
        <f aca="false">ROUND(E14*Ipoteze!$B$7,0)</f>
        <v>950</v>
      </c>
      <c r="H14" s="14" t="n">
        <f aca="false">E14-F14-G14</f>
        <v>6175</v>
      </c>
      <c r="I14" s="14" t="n">
        <f aca="false">ROUND(H14*Ipoteze!$B$8,0)</f>
        <v>618</v>
      </c>
      <c r="J14" s="14" t="n">
        <f aca="false">H14-I14</f>
        <v>5557</v>
      </c>
      <c r="K14" s="14" t="n">
        <f aca="false">ROUND(E14*Ipoteze!$B$9,0)</f>
        <v>214</v>
      </c>
      <c r="L14" s="14" t="n">
        <f aca="false">E14+K14</f>
        <v>9714</v>
      </c>
    </row>
    <row r="15" customFormat="false" ht="15" hidden="false" customHeight="false" outlineLevel="0" collapsed="false">
      <c r="A15" s="2" t="s">
        <v>343</v>
      </c>
      <c r="B15" s="2" t="s">
        <v>634</v>
      </c>
      <c r="C15" s="2" t="s">
        <v>635</v>
      </c>
      <c r="D15" s="2" t="n">
        <v>22</v>
      </c>
      <c r="E15" s="21" t="n">
        <v>6200</v>
      </c>
      <c r="F15" s="14" t="n">
        <f aca="false">ROUND(E15*Ipoteze!$B$6,0)</f>
        <v>1550</v>
      </c>
      <c r="G15" s="14" t="n">
        <f aca="false">ROUND(E15*Ipoteze!$B$7,0)</f>
        <v>620</v>
      </c>
      <c r="H15" s="14" t="n">
        <f aca="false">E15-F15-G15</f>
        <v>4030</v>
      </c>
      <c r="I15" s="14" t="n">
        <f aca="false">ROUND(H15*Ipoteze!$B$8,0)</f>
        <v>403</v>
      </c>
      <c r="J15" s="14" t="n">
        <f aca="false">H15-I15</f>
        <v>3627</v>
      </c>
      <c r="K15" s="14" t="n">
        <f aca="false">ROUND(E15*Ipoteze!$B$9,0)</f>
        <v>140</v>
      </c>
      <c r="L15" s="14" t="n">
        <f aca="false">E15+K15</f>
        <v>6340</v>
      </c>
    </row>
    <row r="16" customFormat="false" ht="15" hidden="false" customHeight="false" outlineLevel="0" collapsed="false">
      <c r="A16" s="2" t="s">
        <v>343</v>
      </c>
      <c r="B16" s="2" t="s">
        <v>636</v>
      </c>
      <c r="C16" s="2" t="s">
        <v>637</v>
      </c>
      <c r="D16" s="2" t="n">
        <v>22</v>
      </c>
      <c r="E16" s="21" t="n">
        <v>5000</v>
      </c>
      <c r="F16" s="14" t="n">
        <f aca="false">ROUND(E16*Ipoteze!$B$6,0)</f>
        <v>1250</v>
      </c>
      <c r="G16" s="14" t="n">
        <f aca="false">ROUND(E16*Ipoteze!$B$7,0)</f>
        <v>500</v>
      </c>
      <c r="H16" s="14" t="n">
        <f aca="false">E16-F16-G16</f>
        <v>3250</v>
      </c>
      <c r="I16" s="14" t="n">
        <f aca="false">ROUND(H16*Ipoteze!$B$8,0)</f>
        <v>325</v>
      </c>
      <c r="J16" s="14" t="n">
        <f aca="false">H16-I16</f>
        <v>2925</v>
      </c>
      <c r="K16" s="14" t="n">
        <f aca="false">ROUND(E16*Ipoteze!$B$9,0)</f>
        <v>113</v>
      </c>
      <c r="L16" s="14" t="n">
        <f aca="false">E16+K16</f>
        <v>5113</v>
      </c>
    </row>
    <row r="17" customFormat="false" ht="15" hidden="false" customHeight="false" outlineLevel="0" collapsed="false">
      <c r="A17" s="2" t="s">
        <v>343</v>
      </c>
      <c r="B17" s="2" t="s">
        <v>638</v>
      </c>
      <c r="C17" s="2" t="s">
        <v>637</v>
      </c>
      <c r="D17" s="2" t="n">
        <v>22</v>
      </c>
      <c r="E17" s="21" t="n">
        <v>5000</v>
      </c>
      <c r="F17" s="14" t="n">
        <f aca="false">ROUND(E17*Ipoteze!$B$6,0)</f>
        <v>1250</v>
      </c>
      <c r="G17" s="14" t="n">
        <f aca="false">ROUND(E17*Ipoteze!$B$7,0)</f>
        <v>500</v>
      </c>
      <c r="H17" s="14" t="n">
        <f aca="false">E17-F17-G17</f>
        <v>3250</v>
      </c>
      <c r="I17" s="14" t="n">
        <f aca="false">ROUND(H17*Ipoteze!$B$8,0)</f>
        <v>325</v>
      </c>
      <c r="J17" s="14" t="n">
        <f aca="false">H17-I17</f>
        <v>2925</v>
      </c>
      <c r="K17" s="14" t="n">
        <f aca="false">ROUND(E17*Ipoteze!$B$9,0)</f>
        <v>113</v>
      </c>
      <c r="L17" s="14" t="n">
        <f aca="false">E17+K17</f>
        <v>5113</v>
      </c>
    </row>
    <row r="18" customFormat="false" ht="15" hidden="false" customHeight="false" outlineLevel="0" collapsed="false">
      <c r="A18" s="2" t="s">
        <v>343</v>
      </c>
      <c r="B18" s="2" t="s">
        <v>639</v>
      </c>
      <c r="C18" s="2" t="s">
        <v>640</v>
      </c>
      <c r="D18" s="2" t="n">
        <v>22</v>
      </c>
      <c r="E18" s="21" t="n">
        <v>4325</v>
      </c>
      <c r="F18" s="14" t="n">
        <f aca="false">ROUND(E18*Ipoteze!$B$6,0)</f>
        <v>1081</v>
      </c>
      <c r="G18" s="14" t="n">
        <f aca="false">ROUND(E18*Ipoteze!$B$7,0)</f>
        <v>433</v>
      </c>
      <c r="H18" s="14" t="n">
        <f aca="false">E18-F18-G18</f>
        <v>2811</v>
      </c>
      <c r="I18" s="14" t="n">
        <f aca="false">ROUND(H18*Ipoteze!$B$8,0)</f>
        <v>281</v>
      </c>
      <c r="J18" s="14" t="n">
        <f aca="false">H18-I18</f>
        <v>2530</v>
      </c>
      <c r="K18" s="14" t="n">
        <f aca="false">ROUND(E18*Ipoteze!$B$9,0)</f>
        <v>97</v>
      </c>
      <c r="L18" s="14" t="n">
        <f aca="false">E18+K18</f>
        <v>4422</v>
      </c>
    </row>
    <row r="19" customFormat="false" ht="15" hidden="false" customHeight="false" outlineLevel="0" collapsed="false">
      <c r="A19" s="2" t="s">
        <v>343</v>
      </c>
      <c r="B19" s="2" t="s">
        <v>641</v>
      </c>
      <c r="C19" s="2" t="s">
        <v>642</v>
      </c>
      <c r="D19" s="2" t="n">
        <v>22</v>
      </c>
      <c r="E19" s="21" t="n">
        <v>4500</v>
      </c>
      <c r="F19" s="14" t="n">
        <f aca="false">ROUND(E19*Ipoteze!$B$6,0)</f>
        <v>1125</v>
      </c>
      <c r="G19" s="14" t="n">
        <f aca="false">ROUND(E19*Ipoteze!$B$7,0)</f>
        <v>450</v>
      </c>
      <c r="H19" s="14" t="n">
        <f aca="false">E19-F19-G19</f>
        <v>2925</v>
      </c>
      <c r="I19" s="14" t="n">
        <f aca="false">ROUND(H19*Ipoteze!$B$8,0)</f>
        <v>293</v>
      </c>
      <c r="J19" s="14" t="n">
        <f aca="false">H19-I19</f>
        <v>2632</v>
      </c>
      <c r="K19" s="14" t="n">
        <f aca="false">ROUND(E19*Ipoteze!$B$9,0)</f>
        <v>101</v>
      </c>
      <c r="L19" s="14" t="n">
        <f aca="false">E19+K19</f>
        <v>4601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23.85" hidden="false" customHeight="false" outlineLevel="0" collapsed="false">
      <c r="A1" s="4" t="s">
        <v>60</v>
      </c>
      <c r="B1" s="4" t="s">
        <v>460</v>
      </c>
      <c r="C1" s="4" t="s">
        <v>63</v>
      </c>
      <c r="D1" s="4" t="s">
        <v>643</v>
      </c>
      <c r="E1" s="4" t="s">
        <v>644</v>
      </c>
      <c r="F1" s="4" t="s">
        <v>645</v>
      </c>
      <c r="G1" s="4" t="s">
        <v>646</v>
      </c>
      <c r="H1" s="4" t="s">
        <v>647</v>
      </c>
      <c r="I1" s="4" t="s">
        <v>648</v>
      </c>
      <c r="J1" s="4" t="s">
        <v>649</v>
      </c>
    </row>
    <row r="2" customFormat="false" ht="15" hidden="false" customHeight="false" outlineLevel="0" collapsed="false">
      <c r="A2" s="2" t="s">
        <v>76</v>
      </c>
      <c r="B2" s="2" t="s">
        <v>473</v>
      </c>
      <c r="C2" s="2" t="s">
        <v>78</v>
      </c>
      <c r="D2" s="22" t="n">
        <v>34</v>
      </c>
      <c r="E2" s="2" t="n">
        <f aca="false">SUMIFS(Achizitii!$G:$G,Achizitii!$A:$A,A2,Achizitii!$E:$E,B2)</f>
        <v>60</v>
      </c>
      <c r="F2" s="2" t="n">
        <f aca="false">SUMIFS(Vanzari!$F:$F,Vanzari!$A:$A,A2,Vanzari!$D:$D,C2)</f>
        <v>78</v>
      </c>
      <c r="G2" s="2" t="n">
        <f aca="false">D2+E2-F2</f>
        <v>16</v>
      </c>
      <c r="H2" s="8" t="n">
        <v>85</v>
      </c>
      <c r="I2" s="8" t="n">
        <f aca="false">G2*H2</f>
        <v>1360</v>
      </c>
      <c r="J2" s="2" t="s">
        <v>650</v>
      </c>
    </row>
    <row r="3" customFormat="false" ht="15" hidden="false" customHeight="false" outlineLevel="0" collapsed="false">
      <c r="A3" s="2" t="s">
        <v>76</v>
      </c>
      <c r="B3" s="2" t="s">
        <v>483</v>
      </c>
      <c r="C3" s="2" t="s">
        <v>101</v>
      </c>
      <c r="D3" s="22" t="n">
        <v>40</v>
      </c>
      <c r="E3" s="2" t="n">
        <f aca="false">SUMIFS(Achizitii!$G:$G,Achizitii!$A:$A,A3,Achizitii!$E:$E,B3)</f>
        <v>90</v>
      </c>
      <c r="F3" s="2" t="n">
        <f aca="false">SUMIFS(Vanzari!$F:$F,Vanzari!$A:$A,A3,Vanzari!$D:$D,C3)</f>
        <v>78</v>
      </c>
      <c r="G3" s="2" t="n">
        <f aca="false">D3+E3-F3</f>
        <v>52</v>
      </c>
      <c r="H3" s="8" t="n">
        <v>75</v>
      </c>
      <c r="I3" s="8" t="n">
        <f aca="false">G3*H3</f>
        <v>3900</v>
      </c>
      <c r="J3" s="2" t="s">
        <v>650</v>
      </c>
    </row>
    <row r="4" customFormat="false" ht="15" hidden="false" customHeight="false" outlineLevel="0" collapsed="false">
      <c r="A4" s="2" t="s">
        <v>76</v>
      </c>
      <c r="B4" s="2" t="s">
        <v>465</v>
      </c>
      <c r="C4" s="2" t="s">
        <v>94</v>
      </c>
      <c r="D4" s="22" t="n">
        <v>19</v>
      </c>
      <c r="E4" s="2" t="n">
        <f aca="false">SUMIFS(Achizitii!$G:$G,Achizitii!$A:$A,A4,Achizitii!$E:$E,B4)</f>
        <v>60</v>
      </c>
      <c r="F4" s="2" t="n">
        <f aca="false">SUMIFS(Vanzari!$F:$F,Vanzari!$A:$A,A4,Vanzari!$D:$D,C4)</f>
        <v>72</v>
      </c>
      <c r="G4" s="2" t="n">
        <f aca="false">D4+E4-F4</f>
        <v>7</v>
      </c>
      <c r="H4" s="8" t="n">
        <v>19</v>
      </c>
      <c r="I4" s="8" t="n">
        <f aca="false">G4*H4</f>
        <v>133</v>
      </c>
      <c r="J4" s="2" t="s">
        <v>650</v>
      </c>
    </row>
    <row r="5" customFormat="false" ht="15" hidden="false" customHeight="false" outlineLevel="0" collapsed="false">
      <c r="A5" s="2" t="s">
        <v>76</v>
      </c>
      <c r="B5" s="2" t="s">
        <v>510</v>
      </c>
      <c r="C5" s="2" t="s">
        <v>91</v>
      </c>
      <c r="D5" s="22" t="n">
        <v>13</v>
      </c>
      <c r="E5" s="2" t="n">
        <f aca="false">SUMIFS(Achizitii!$G:$G,Achizitii!$A:$A,A5,Achizitii!$E:$E,B5)</f>
        <v>10</v>
      </c>
      <c r="F5" s="2" t="n">
        <f aca="false">SUMIFS(Vanzari!$F:$F,Vanzari!$A:$A,A5,Vanzari!$D:$D,C5)</f>
        <v>9</v>
      </c>
      <c r="G5" s="2" t="n">
        <f aca="false">D5+E5-F5</f>
        <v>14</v>
      </c>
      <c r="H5" s="8" t="n">
        <v>48</v>
      </c>
      <c r="I5" s="8" t="n">
        <f aca="false">G5*H5</f>
        <v>672</v>
      </c>
      <c r="J5" s="2" t="s">
        <v>650</v>
      </c>
    </row>
    <row r="6" customFormat="false" ht="15" hidden="false" customHeight="false" outlineLevel="0" collapsed="false">
      <c r="A6" s="2" t="s">
        <v>76</v>
      </c>
      <c r="B6" s="2" t="s">
        <v>486</v>
      </c>
      <c r="C6" s="2" t="s">
        <v>134</v>
      </c>
      <c r="D6" s="22" t="n">
        <v>10</v>
      </c>
      <c r="E6" s="2" t="n">
        <f aca="false">SUMIFS(Achizitii!$G:$G,Achizitii!$A:$A,A6,Achizitii!$E:$E,B6)</f>
        <v>50</v>
      </c>
      <c r="F6" s="2" t="n">
        <f aca="false">SUMIFS(Vanzari!$F:$F,Vanzari!$A:$A,A6,Vanzari!$D:$D,C6)</f>
        <v>27</v>
      </c>
      <c r="G6" s="2" t="n">
        <f aca="false">D6+E6-F6</f>
        <v>33</v>
      </c>
      <c r="H6" s="8" t="n">
        <v>70</v>
      </c>
      <c r="I6" s="8" t="n">
        <f aca="false">G6*H6</f>
        <v>2310</v>
      </c>
      <c r="J6" s="2" t="s">
        <v>650</v>
      </c>
    </row>
    <row r="7" customFormat="false" ht="15" hidden="false" customHeight="false" outlineLevel="0" collapsed="false">
      <c r="A7" s="2" t="s">
        <v>76</v>
      </c>
      <c r="B7" s="2" t="s">
        <v>489</v>
      </c>
      <c r="C7" s="2" t="s">
        <v>104</v>
      </c>
      <c r="D7" s="22" t="n">
        <v>24</v>
      </c>
      <c r="E7" s="2" t="n">
        <f aca="false">SUMIFS(Achizitii!$G:$G,Achizitii!$A:$A,A7,Achizitii!$E:$E,B7)</f>
        <v>90</v>
      </c>
      <c r="F7" s="2" t="n">
        <f aca="false">SUMIFS(Vanzari!$F:$F,Vanzari!$A:$A,A7,Vanzari!$D:$D,C7)</f>
        <v>41</v>
      </c>
      <c r="G7" s="2" t="n">
        <f aca="false">D7+E7-F7</f>
        <v>73</v>
      </c>
      <c r="H7" s="8" t="n">
        <v>120</v>
      </c>
      <c r="I7" s="8" t="n">
        <f aca="false">G7*H7</f>
        <v>8760</v>
      </c>
      <c r="J7" s="2" t="s">
        <v>650</v>
      </c>
    </row>
    <row r="8" customFormat="false" ht="15" hidden="false" customHeight="false" outlineLevel="0" collapsed="false">
      <c r="A8" s="2" t="s">
        <v>76</v>
      </c>
      <c r="B8" s="2" t="s">
        <v>479</v>
      </c>
      <c r="C8" s="2" t="s">
        <v>86</v>
      </c>
      <c r="D8" s="22" t="n">
        <v>40</v>
      </c>
      <c r="E8" s="2" t="n">
        <f aca="false">SUMIFS(Achizitii!$G:$G,Achizitii!$A:$A,A8,Achizitii!$E:$E,B8)</f>
        <v>40</v>
      </c>
      <c r="F8" s="2" t="n">
        <f aca="false">SUMIFS(Vanzari!$F:$F,Vanzari!$A:$A,A8,Vanzari!$D:$D,C8)</f>
        <v>50</v>
      </c>
      <c r="G8" s="2" t="n">
        <f aca="false">D8+E8-F8</f>
        <v>30</v>
      </c>
      <c r="H8" s="8" t="n">
        <v>22</v>
      </c>
      <c r="I8" s="8" t="n">
        <f aca="false">G8*H8</f>
        <v>660</v>
      </c>
      <c r="J8" s="2" t="s">
        <v>650</v>
      </c>
    </row>
    <row r="9" customFormat="false" ht="15" hidden="false" customHeight="false" outlineLevel="0" collapsed="false">
      <c r="A9" s="2" t="s">
        <v>76</v>
      </c>
      <c r="B9" s="2" t="s">
        <v>480</v>
      </c>
      <c r="C9" s="2" t="s">
        <v>89</v>
      </c>
      <c r="D9" s="22" t="n">
        <v>33</v>
      </c>
      <c r="E9" s="2" t="n">
        <f aca="false">SUMIFS(Achizitii!$G:$G,Achizitii!$A:$A,A9,Achizitii!$E:$E,B9)</f>
        <v>90</v>
      </c>
      <c r="F9" s="2" t="n">
        <f aca="false">SUMIFS(Vanzari!$F:$F,Vanzari!$A:$A,A9,Vanzari!$D:$D,C9)</f>
        <v>77</v>
      </c>
      <c r="G9" s="2" t="n">
        <f aca="false">D9+E9-F9</f>
        <v>46</v>
      </c>
      <c r="H9" s="8" t="n">
        <v>9</v>
      </c>
      <c r="I9" s="8" t="n">
        <f aca="false">G9*H9</f>
        <v>414</v>
      </c>
      <c r="J9" s="2" t="s">
        <v>650</v>
      </c>
    </row>
    <row r="10" customFormat="false" ht="15" hidden="false" customHeight="false" outlineLevel="0" collapsed="false">
      <c r="A10" s="2" t="s">
        <v>76</v>
      </c>
      <c r="B10" s="2" t="s">
        <v>471</v>
      </c>
      <c r="C10" s="2" t="s">
        <v>113</v>
      </c>
      <c r="D10" s="22" t="n">
        <v>7</v>
      </c>
      <c r="E10" s="2" t="n">
        <f aca="false">SUMIFS(Achizitii!$G:$G,Achizitii!$A:$A,A10,Achizitii!$E:$E,B10)</f>
        <v>30</v>
      </c>
      <c r="F10" s="2" t="n">
        <f aca="false">SUMIFS(Vanzari!$F:$F,Vanzari!$A:$A,A10,Vanzari!$D:$D,C10)</f>
        <v>25</v>
      </c>
      <c r="G10" s="2" t="n">
        <f aca="false">D10+E10-F10</f>
        <v>12</v>
      </c>
      <c r="H10" s="8" t="n">
        <v>780</v>
      </c>
      <c r="I10" s="8" t="n">
        <f aca="false">G10*H10</f>
        <v>9360</v>
      </c>
      <c r="J10" s="2" t="s">
        <v>650</v>
      </c>
    </row>
    <row r="11" customFormat="false" ht="15" hidden="false" customHeight="false" outlineLevel="0" collapsed="false">
      <c r="A11" s="2" t="s">
        <v>76</v>
      </c>
      <c r="B11" s="2" t="s">
        <v>496</v>
      </c>
      <c r="C11" s="2" t="s">
        <v>82</v>
      </c>
      <c r="D11" s="22" t="n">
        <v>18</v>
      </c>
      <c r="E11" s="2" t="n">
        <f aca="false">SUMIFS(Achizitii!$G:$G,Achizitii!$A:$A,A11,Achizitii!$E:$E,B11)</f>
        <v>60</v>
      </c>
      <c r="F11" s="2" t="n">
        <f aca="false">SUMIFS(Vanzari!$F:$F,Vanzari!$A:$A,A11,Vanzari!$D:$D,C11)</f>
        <v>36</v>
      </c>
      <c r="G11" s="2" t="n">
        <f aca="false">D11+E11-F11</f>
        <v>42</v>
      </c>
      <c r="H11" s="8" t="n">
        <v>45</v>
      </c>
      <c r="I11" s="8" t="n">
        <f aca="false">G11*H11</f>
        <v>1890</v>
      </c>
      <c r="J11" s="2" t="s">
        <v>650</v>
      </c>
    </row>
    <row r="12" customFormat="false" ht="15" hidden="false" customHeight="false" outlineLevel="0" collapsed="false">
      <c r="A12" s="2" t="s">
        <v>76</v>
      </c>
      <c r="B12" s="2" t="s">
        <v>492</v>
      </c>
      <c r="C12" s="2" t="s">
        <v>108</v>
      </c>
      <c r="D12" s="22" t="n">
        <v>38</v>
      </c>
      <c r="E12" s="2" t="n">
        <f aca="false">SUMIFS(Achizitii!$G:$G,Achizitii!$A:$A,A12,Achizitii!$E:$E,B12)</f>
        <v>50</v>
      </c>
      <c r="F12" s="2" t="n">
        <f aca="false">SUMIFS(Vanzari!$F:$F,Vanzari!$A:$A,A12,Vanzari!$D:$D,C12)</f>
        <v>68</v>
      </c>
      <c r="G12" s="2" t="n">
        <f aca="false">D12+E12-F12</f>
        <v>20</v>
      </c>
      <c r="H12" s="8" t="n">
        <v>160</v>
      </c>
      <c r="I12" s="8" t="n">
        <f aca="false">G12*H12</f>
        <v>3200</v>
      </c>
      <c r="J12" s="2" t="s">
        <v>650</v>
      </c>
    </row>
    <row r="13" customFormat="false" ht="15" hidden="false" customHeight="false" outlineLevel="0" collapsed="false">
      <c r="A13" s="2" t="s">
        <v>76</v>
      </c>
      <c r="B13" s="2" t="s">
        <v>477</v>
      </c>
      <c r="C13" s="2" t="s">
        <v>130</v>
      </c>
      <c r="D13" s="22" t="n">
        <v>30</v>
      </c>
      <c r="E13" s="2" t="n">
        <f aca="false">SUMIFS(Achizitii!$G:$G,Achizitii!$A:$A,A13,Achizitii!$E:$E,B13)</f>
        <v>60</v>
      </c>
      <c r="F13" s="2" t="n">
        <f aca="false">SUMIFS(Vanzari!$F:$F,Vanzari!$A:$A,A13,Vanzari!$D:$D,C13)</f>
        <v>81</v>
      </c>
      <c r="G13" s="2" t="n">
        <f aca="false">D13+E13-F13</f>
        <v>9</v>
      </c>
      <c r="H13" s="8" t="n">
        <v>190</v>
      </c>
      <c r="I13" s="8" t="n">
        <f aca="false">G13*H13</f>
        <v>1710</v>
      </c>
      <c r="J13" s="2" t="s">
        <v>650</v>
      </c>
    </row>
    <row r="14" customFormat="false" ht="15" hidden="false" customHeight="false" outlineLevel="0" collapsed="false">
      <c r="A14" s="2" t="s">
        <v>76</v>
      </c>
      <c r="B14" s="2" t="s">
        <v>468</v>
      </c>
      <c r="C14" s="2" t="s">
        <v>97</v>
      </c>
      <c r="D14" s="22" t="n">
        <v>17</v>
      </c>
      <c r="E14" s="2" t="n">
        <f aca="false">SUMIFS(Achizitii!$G:$G,Achizitii!$A:$A,A14,Achizitii!$E:$E,B14)</f>
        <v>60</v>
      </c>
      <c r="F14" s="2" t="n">
        <f aca="false">SUMIFS(Vanzari!$F:$F,Vanzari!$A:$A,A14,Vanzari!$D:$D,C14)</f>
        <v>46</v>
      </c>
      <c r="G14" s="2" t="n">
        <f aca="false">D14+E14-F14</f>
        <v>31</v>
      </c>
      <c r="H14" s="8" t="n">
        <v>290</v>
      </c>
      <c r="I14" s="8" t="n">
        <f aca="false">G14*H14</f>
        <v>8990</v>
      </c>
      <c r="J14" s="2" t="s">
        <v>650</v>
      </c>
    </row>
    <row r="15" customFormat="false" ht="15" hidden="false" customHeight="false" outlineLevel="0" collapsed="false">
      <c r="A15" s="2" t="s">
        <v>76</v>
      </c>
      <c r="B15" s="2" t="s">
        <v>475</v>
      </c>
      <c r="C15" s="2" t="s">
        <v>124</v>
      </c>
      <c r="D15" s="22" t="n">
        <v>10</v>
      </c>
      <c r="E15" s="2" t="n">
        <f aca="false">SUMIFS(Achizitii!$G:$G,Achizitii!$A:$A,A15,Achizitii!$E:$E,B15)</f>
        <v>30</v>
      </c>
      <c r="F15" s="2" t="n">
        <f aca="false">SUMIFS(Vanzari!$F:$F,Vanzari!$A:$A,A15,Vanzari!$D:$D,C15)</f>
        <v>29</v>
      </c>
      <c r="G15" s="2" t="n">
        <f aca="false">D15+E15-F15</f>
        <v>11</v>
      </c>
      <c r="H15" s="8" t="n">
        <v>18</v>
      </c>
      <c r="I15" s="8" t="n">
        <f aca="false">G15*H15</f>
        <v>198</v>
      </c>
      <c r="J15" s="2" t="s">
        <v>650</v>
      </c>
    </row>
    <row r="16" customFormat="false" ht="15" hidden="false" customHeight="false" outlineLevel="0" collapsed="false">
      <c r="A16" s="2" t="s">
        <v>224</v>
      </c>
      <c r="B16" s="2" t="s">
        <v>473</v>
      </c>
      <c r="C16" s="2" t="s">
        <v>78</v>
      </c>
      <c r="D16" s="2" t="n">
        <f aca="false">G2</f>
        <v>16</v>
      </c>
      <c r="E16" s="2" t="n">
        <f aca="false">SUMIFS(Achizitii!$G:$G,Achizitii!$A:$A,A16,Achizitii!$E:$E,B16)</f>
        <v>10</v>
      </c>
      <c r="F16" s="2" t="n">
        <f aca="false">SUMIFS(Vanzari!$F:$F,Vanzari!$A:$A,A16,Vanzari!$D:$D,C16)</f>
        <v>16</v>
      </c>
      <c r="G16" s="2" t="n">
        <f aca="false">D16+E16-F16</f>
        <v>10</v>
      </c>
      <c r="H16" s="8" t="n">
        <v>85</v>
      </c>
      <c r="I16" s="8" t="n">
        <f aca="false">G16*H16</f>
        <v>850</v>
      </c>
      <c r="J16" s="2" t="str">
        <f aca="false">IF(D16=G2,"OK","Diferenta")</f>
        <v>OK</v>
      </c>
    </row>
    <row r="17" customFormat="false" ht="15" hidden="false" customHeight="false" outlineLevel="0" collapsed="false">
      <c r="A17" s="2" t="s">
        <v>224</v>
      </c>
      <c r="B17" s="2" t="s">
        <v>483</v>
      </c>
      <c r="C17" s="2" t="s">
        <v>101</v>
      </c>
      <c r="D17" s="2" t="n">
        <f aca="false">G3</f>
        <v>52</v>
      </c>
      <c r="E17" s="2" t="n">
        <f aca="false">SUMIFS(Achizitii!$G:$G,Achizitii!$A:$A,A17,Achizitii!$E:$E,B17)</f>
        <v>70</v>
      </c>
      <c r="F17" s="2" t="n">
        <f aca="false">SUMIFS(Vanzari!$F:$F,Vanzari!$A:$A,A17,Vanzari!$D:$D,C17)</f>
        <v>87</v>
      </c>
      <c r="G17" s="2" t="n">
        <f aca="false">D17+E17-F17</f>
        <v>35</v>
      </c>
      <c r="H17" s="8" t="n">
        <v>75</v>
      </c>
      <c r="I17" s="8" t="n">
        <f aca="false">G17*H17</f>
        <v>2625</v>
      </c>
      <c r="J17" s="2" t="str">
        <f aca="false">IF(D17=G3,"OK","Diferenta")</f>
        <v>OK</v>
      </c>
    </row>
    <row r="18" customFormat="false" ht="15" hidden="false" customHeight="false" outlineLevel="0" collapsed="false">
      <c r="A18" s="2" t="s">
        <v>224</v>
      </c>
      <c r="B18" s="2" t="s">
        <v>465</v>
      </c>
      <c r="C18" s="2" t="s">
        <v>94</v>
      </c>
      <c r="D18" s="2" t="n">
        <f aca="false">G4</f>
        <v>7</v>
      </c>
      <c r="E18" s="2" t="n">
        <f aca="false">SUMIFS(Achizitii!$G:$G,Achizitii!$A:$A,A18,Achizitii!$E:$E,B18)</f>
        <v>60</v>
      </c>
      <c r="F18" s="2" t="n">
        <f aca="false">SUMIFS(Vanzari!$F:$F,Vanzari!$A:$A,A18,Vanzari!$D:$D,C18)</f>
        <v>20</v>
      </c>
      <c r="G18" s="2" t="n">
        <f aca="false">D18+E18-F18</f>
        <v>47</v>
      </c>
      <c r="H18" s="8" t="n">
        <v>19</v>
      </c>
      <c r="I18" s="8" t="n">
        <f aca="false">G18*H18</f>
        <v>893</v>
      </c>
      <c r="J18" s="2" t="str">
        <f aca="false">IF(D18=G4,"OK","Diferenta")</f>
        <v>OK</v>
      </c>
    </row>
    <row r="19" customFormat="false" ht="15" hidden="false" customHeight="false" outlineLevel="0" collapsed="false">
      <c r="A19" s="2" t="s">
        <v>224</v>
      </c>
      <c r="B19" s="2" t="s">
        <v>510</v>
      </c>
      <c r="C19" s="2" t="s">
        <v>91</v>
      </c>
      <c r="D19" s="2" t="n">
        <f aca="false">G5</f>
        <v>14</v>
      </c>
      <c r="E19" s="2" t="n">
        <f aca="false">SUMIFS(Achizitii!$G:$G,Achizitii!$A:$A,A19,Achizitii!$E:$E,B19)</f>
        <v>20</v>
      </c>
      <c r="F19" s="2" t="n">
        <f aca="false">SUMIFS(Vanzari!$F:$F,Vanzari!$A:$A,A19,Vanzari!$D:$D,C19)</f>
        <v>26</v>
      </c>
      <c r="G19" s="2" t="n">
        <f aca="false">D19+E19-F19</f>
        <v>8</v>
      </c>
      <c r="H19" s="8" t="n">
        <v>48</v>
      </c>
      <c r="I19" s="8" t="n">
        <f aca="false">G19*H19</f>
        <v>384</v>
      </c>
      <c r="J19" s="2" t="str">
        <f aca="false">IF(D19=G5,"OK","Diferenta")</f>
        <v>OK</v>
      </c>
    </row>
    <row r="20" customFormat="false" ht="15" hidden="false" customHeight="false" outlineLevel="0" collapsed="false">
      <c r="A20" s="2" t="s">
        <v>224</v>
      </c>
      <c r="B20" s="2" t="s">
        <v>486</v>
      </c>
      <c r="C20" s="2" t="s">
        <v>134</v>
      </c>
      <c r="D20" s="2" t="n">
        <f aca="false">G6</f>
        <v>33</v>
      </c>
      <c r="E20" s="2" t="n">
        <f aca="false">SUMIFS(Achizitii!$G:$G,Achizitii!$A:$A,A20,Achizitii!$E:$E,B20)</f>
        <v>120</v>
      </c>
      <c r="F20" s="2" t="n">
        <f aca="false">SUMIFS(Vanzari!$F:$F,Vanzari!$A:$A,A20,Vanzari!$D:$D,C20)</f>
        <v>100</v>
      </c>
      <c r="G20" s="2" t="n">
        <f aca="false">D20+E20-F20</f>
        <v>53</v>
      </c>
      <c r="H20" s="8" t="n">
        <v>70</v>
      </c>
      <c r="I20" s="8" t="n">
        <f aca="false">G20*H20</f>
        <v>3710</v>
      </c>
      <c r="J20" s="2" t="str">
        <f aca="false">IF(D20=G6,"OK","Diferenta")</f>
        <v>OK</v>
      </c>
    </row>
    <row r="21" customFormat="false" ht="15" hidden="false" customHeight="false" outlineLevel="0" collapsed="false">
      <c r="A21" s="2" t="s">
        <v>224</v>
      </c>
      <c r="B21" s="2" t="s">
        <v>489</v>
      </c>
      <c r="C21" s="2" t="s">
        <v>104</v>
      </c>
      <c r="D21" s="2" t="n">
        <f aca="false">G7</f>
        <v>73</v>
      </c>
      <c r="E21" s="2" t="n">
        <f aca="false">SUMIFS(Achizitii!$G:$G,Achizitii!$A:$A,A21,Achizitii!$E:$E,B21)</f>
        <v>35</v>
      </c>
      <c r="F21" s="2" t="n">
        <f aca="false">SUMIFS(Vanzari!$F:$F,Vanzari!$A:$A,A21,Vanzari!$D:$D,C21)</f>
        <v>90</v>
      </c>
      <c r="G21" s="2" t="n">
        <f aca="false">D21+E21-F21</f>
        <v>18</v>
      </c>
      <c r="H21" s="8" t="n">
        <v>120</v>
      </c>
      <c r="I21" s="8" t="n">
        <f aca="false">G21*H21</f>
        <v>2160</v>
      </c>
      <c r="J21" s="2" t="str">
        <f aca="false">IF(D21=G7,"OK","Diferenta")</f>
        <v>OK</v>
      </c>
    </row>
    <row r="22" customFormat="false" ht="15" hidden="false" customHeight="false" outlineLevel="0" collapsed="false">
      <c r="A22" s="2" t="s">
        <v>224</v>
      </c>
      <c r="B22" s="2" t="s">
        <v>479</v>
      </c>
      <c r="C22" s="2" t="s">
        <v>86</v>
      </c>
      <c r="D22" s="2" t="n">
        <f aca="false">G8</f>
        <v>30</v>
      </c>
      <c r="E22" s="2" t="n">
        <f aca="false">SUMIFS(Achizitii!$G:$G,Achizitii!$A:$A,A22,Achizitii!$E:$E,B22)</f>
        <v>40</v>
      </c>
      <c r="F22" s="2" t="n">
        <f aca="false">SUMIFS(Vanzari!$F:$F,Vanzari!$A:$A,A22,Vanzari!$D:$D,C22)</f>
        <v>45</v>
      </c>
      <c r="G22" s="2" t="n">
        <f aca="false">D22+E22-F22</f>
        <v>25</v>
      </c>
      <c r="H22" s="8" t="n">
        <v>22</v>
      </c>
      <c r="I22" s="8" t="n">
        <f aca="false">G22*H22</f>
        <v>550</v>
      </c>
      <c r="J22" s="2" t="str">
        <f aca="false">IF(D22=G8,"OK","Diferenta")</f>
        <v>OK</v>
      </c>
    </row>
    <row r="23" customFormat="false" ht="15" hidden="false" customHeight="false" outlineLevel="0" collapsed="false">
      <c r="A23" s="2" t="s">
        <v>224</v>
      </c>
      <c r="B23" s="2" t="s">
        <v>480</v>
      </c>
      <c r="C23" s="2" t="s">
        <v>89</v>
      </c>
      <c r="D23" s="2" t="n">
        <f aca="false">G9</f>
        <v>46</v>
      </c>
      <c r="E23" s="2" t="n">
        <f aca="false">SUMIFS(Achizitii!$G:$G,Achizitii!$A:$A,A23,Achizitii!$E:$E,B23)</f>
        <v>60</v>
      </c>
      <c r="F23" s="2" t="n">
        <f aca="false">SUMIFS(Vanzari!$F:$F,Vanzari!$A:$A,A23,Vanzari!$D:$D,C23)</f>
        <v>72</v>
      </c>
      <c r="G23" s="2" t="n">
        <f aca="false">D23+E23-F23</f>
        <v>34</v>
      </c>
      <c r="H23" s="8" t="n">
        <v>9</v>
      </c>
      <c r="I23" s="8" t="n">
        <f aca="false">G23*H23</f>
        <v>306</v>
      </c>
      <c r="J23" s="2" t="str">
        <f aca="false">IF(D23=G9,"OK","Diferenta")</f>
        <v>OK</v>
      </c>
    </row>
    <row r="24" customFormat="false" ht="15" hidden="false" customHeight="false" outlineLevel="0" collapsed="false">
      <c r="A24" s="2" t="s">
        <v>224</v>
      </c>
      <c r="B24" s="2" t="s">
        <v>471</v>
      </c>
      <c r="C24" s="2" t="s">
        <v>113</v>
      </c>
      <c r="D24" s="2" t="n">
        <f aca="false">G10</f>
        <v>12</v>
      </c>
      <c r="E24" s="2" t="n">
        <f aca="false">SUMIFS(Achizitii!$G:$G,Achizitii!$A:$A,A24,Achizitii!$E:$E,B24)</f>
        <v>0</v>
      </c>
      <c r="F24" s="2" t="n">
        <f aca="false">SUMIFS(Vanzari!$F:$F,Vanzari!$A:$A,A24,Vanzari!$D:$D,C24)</f>
        <v>8</v>
      </c>
      <c r="G24" s="2" t="n">
        <f aca="false">D24+E24-F24</f>
        <v>4</v>
      </c>
      <c r="H24" s="8" t="n">
        <v>780</v>
      </c>
      <c r="I24" s="8" t="n">
        <f aca="false">G24*H24</f>
        <v>3120</v>
      </c>
      <c r="J24" s="2" t="str">
        <f aca="false">IF(D24=G10,"OK","Diferenta")</f>
        <v>OK</v>
      </c>
    </row>
    <row r="25" customFormat="false" ht="15" hidden="false" customHeight="false" outlineLevel="0" collapsed="false">
      <c r="A25" s="2" t="s">
        <v>224</v>
      </c>
      <c r="B25" s="2" t="s">
        <v>496</v>
      </c>
      <c r="C25" s="2" t="s">
        <v>82</v>
      </c>
      <c r="D25" s="2" t="n">
        <f aca="false">G11</f>
        <v>42</v>
      </c>
      <c r="E25" s="2" t="n">
        <f aca="false">SUMIFS(Achizitii!$G:$G,Achizitii!$A:$A,A25,Achizitii!$E:$E,B25)</f>
        <v>60</v>
      </c>
      <c r="F25" s="2" t="n">
        <f aca="false">SUMIFS(Vanzari!$F:$F,Vanzari!$A:$A,A25,Vanzari!$D:$D,C25)</f>
        <v>79</v>
      </c>
      <c r="G25" s="2" t="n">
        <f aca="false">D25+E25-F25</f>
        <v>23</v>
      </c>
      <c r="H25" s="8" t="n">
        <v>45</v>
      </c>
      <c r="I25" s="8" t="n">
        <f aca="false">G25*H25</f>
        <v>1035</v>
      </c>
      <c r="J25" s="2" t="str">
        <f aca="false">IF(D25=G11,"OK","Diferenta")</f>
        <v>OK</v>
      </c>
    </row>
    <row r="26" customFormat="false" ht="15" hidden="false" customHeight="false" outlineLevel="0" collapsed="false">
      <c r="A26" s="2" t="s">
        <v>224</v>
      </c>
      <c r="B26" s="2" t="s">
        <v>492</v>
      </c>
      <c r="C26" s="2" t="s">
        <v>108</v>
      </c>
      <c r="D26" s="2" t="n">
        <f aca="false">G12</f>
        <v>20</v>
      </c>
      <c r="E26" s="2" t="n">
        <f aca="false">SUMIFS(Achizitii!$G:$G,Achizitii!$A:$A,A26,Achizitii!$E:$E,B26)</f>
        <v>90</v>
      </c>
      <c r="F26" s="2" t="n">
        <f aca="false">SUMIFS(Vanzari!$F:$F,Vanzari!$A:$A,A26,Vanzari!$D:$D,C26)</f>
        <v>73</v>
      </c>
      <c r="G26" s="2" t="n">
        <f aca="false">D26+E26-F26</f>
        <v>37</v>
      </c>
      <c r="H26" s="8" t="n">
        <v>160</v>
      </c>
      <c r="I26" s="8" t="n">
        <f aca="false">G26*H26</f>
        <v>5920</v>
      </c>
      <c r="J26" s="2" t="str">
        <f aca="false">IF(D26=G12,"OK","Diferenta")</f>
        <v>OK</v>
      </c>
    </row>
    <row r="27" customFormat="false" ht="15" hidden="false" customHeight="false" outlineLevel="0" collapsed="false">
      <c r="A27" s="2" t="s">
        <v>224</v>
      </c>
      <c r="B27" s="2" t="s">
        <v>477</v>
      </c>
      <c r="C27" s="2" t="s">
        <v>130</v>
      </c>
      <c r="D27" s="2" t="n">
        <f aca="false">G13</f>
        <v>9</v>
      </c>
      <c r="E27" s="2" t="n">
        <f aca="false">SUMIFS(Achizitii!$G:$G,Achizitii!$A:$A,A27,Achizitii!$E:$E,B27)</f>
        <v>40</v>
      </c>
      <c r="F27" s="2" t="n">
        <f aca="false">SUMIFS(Vanzari!$F:$F,Vanzari!$A:$A,A27,Vanzari!$D:$D,C27)</f>
        <v>22</v>
      </c>
      <c r="G27" s="2" t="n">
        <f aca="false">D27+E27-F27</f>
        <v>27</v>
      </c>
      <c r="H27" s="8" t="n">
        <v>190</v>
      </c>
      <c r="I27" s="8" t="n">
        <f aca="false">G27*H27</f>
        <v>5130</v>
      </c>
      <c r="J27" s="2" t="str">
        <f aca="false">IF(D27=G13,"OK","Diferenta")</f>
        <v>OK</v>
      </c>
    </row>
    <row r="28" customFormat="false" ht="15" hidden="false" customHeight="false" outlineLevel="0" collapsed="false">
      <c r="A28" s="2" t="s">
        <v>224</v>
      </c>
      <c r="B28" s="2" t="s">
        <v>468</v>
      </c>
      <c r="C28" s="2" t="s">
        <v>97</v>
      </c>
      <c r="D28" s="2" t="n">
        <f aca="false">G14</f>
        <v>31</v>
      </c>
      <c r="E28" s="2" t="n">
        <f aca="false">SUMIFS(Achizitii!$G:$G,Achizitii!$A:$A,A28,Achizitii!$E:$E,B28)</f>
        <v>40</v>
      </c>
      <c r="F28" s="2" t="n">
        <f aca="false">SUMIFS(Vanzari!$F:$F,Vanzari!$A:$A,A28,Vanzari!$D:$D,C28)</f>
        <v>49</v>
      </c>
      <c r="G28" s="2" t="n">
        <f aca="false">D28+E28-F28</f>
        <v>22</v>
      </c>
      <c r="H28" s="8" t="n">
        <v>290</v>
      </c>
      <c r="I28" s="8" t="n">
        <f aca="false">G28*H28</f>
        <v>6380</v>
      </c>
      <c r="J28" s="2" t="str">
        <f aca="false">IF(D28=G14,"OK","Diferenta")</f>
        <v>OK</v>
      </c>
    </row>
    <row r="29" customFormat="false" ht="15" hidden="false" customHeight="false" outlineLevel="0" collapsed="false">
      <c r="A29" s="2" t="s">
        <v>224</v>
      </c>
      <c r="B29" s="2" t="s">
        <v>475</v>
      </c>
      <c r="C29" s="2" t="s">
        <v>124</v>
      </c>
      <c r="D29" s="2" t="n">
        <f aca="false">G15</f>
        <v>11</v>
      </c>
      <c r="E29" s="2" t="n">
        <f aca="false">SUMIFS(Achizitii!$G:$G,Achizitii!$A:$A,A29,Achizitii!$E:$E,B29)</f>
        <v>40</v>
      </c>
      <c r="F29" s="2" t="n">
        <f aca="false">SUMIFS(Vanzari!$F:$F,Vanzari!$A:$A,A29,Vanzari!$D:$D,C29)</f>
        <v>28</v>
      </c>
      <c r="G29" s="2" t="n">
        <f aca="false">D29+E29-F29</f>
        <v>23</v>
      </c>
      <c r="H29" s="8" t="n">
        <v>18</v>
      </c>
      <c r="I29" s="8" t="n">
        <f aca="false">G29*H29</f>
        <v>414</v>
      </c>
      <c r="J29" s="2" t="str">
        <f aca="false">IF(D29=G15,"OK","Diferenta")</f>
        <v>OK</v>
      </c>
    </row>
    <row r="30" customFormat="false" ht="15" hidden="false" customHeight="false" outlineLevel="0" collapsed="false">
      <c r="A30" s="2" t="s">
        <v>343</v>
      </c>
      <c r="B30" s="2" t="s">
        <v>473</v>
      </c>
      <c r="C30" s="2" t="s">
        <v>78</v>
      </c>
      <c r="D30" s="2" t="n">
        <f aca="false">G16</f>
        <v>10</v>
      </c>
      <c r="E30" s="2" t="n">
        <f aca="false">SUMIFS(Achizitii!$G:$G,Achizitii!$A:$A,A30,Achizitii!$E:$E,B30)</f>
        <v>20</v>
      </c>
      <c r="F30" s="2" t="n">
        <f aca="false">SUMIFS(Vanzari!$F:$F,Vanzari!$A:$A,A30,Vanzari!$D:$D,C30)</f>
        <v>25</v>
      </c>
      <c r="G30" s="2" t="n">
        <f aca="false">D30+E30-F30</f>
        <v>5</v>
      </c>
      <c r="H30" s="8" t="n">
        <v>85</v>
      </c>
      <c r="I30" s="8" t="n">
        <f aca="false">G30*H30</f>
        <v>425</v>
      </c>
      <c r="J30" s="2" t="str">
        <f aca="false">IF(D30=G16,"OK","Diferenta")</f>
        <v>OK</v>
      </c>
    </row>
    <row r="31" customFormat="false" ht="15" hidden="false" customHeight="false" outlineLevel="0" collapsed="false">
      <c r="A31" s="2" t="s">
        <v>343</v>
      </c>
      <c r="B31" s="2" t="s">
        <v>483</v>
      </c>
      <c r="C31" s="2" t="s">
        <v>101</v>
      </c>
      <c r="D31" s="2" t="n">
        <f aca="false">G17</f>
        <v>35</v>
      </c>
      <c r="E31" s="2" t="n">
        <f aca="false">SUMIFS(Achizitii!$G:$G,Achizitii!$A:$A,A31,Achizitii!$E:$E,B31)</f>
        <v>105</v>
      </c>
      <c r="F31" s="2" t="n">
        <f aca="false">SUMIFS(Vanzari!$F:$F,Vanzari!$A:$A,A31,Vanzari!$D:$D,C31)</f>
        <v>92</v>
      </c>
      <c r="G31" s="2" t="n">
        <f aca="false">D31+E31-F31</f>
        <v>48</v>
      </c>
      <c r="H31" s="8" t="n">
        <v>75</v>
      </c>
      <c r="I31" s="8" t="n">
        <f aca="false">G31*H31</f>
        <v>3600</v>
      </c>
      <c r="J31" s="2" t="str">
        <f aca="false">IF(D31=G17,"OK","Diferenta")</f>
        <v>OK</v>
      </c>
    </row>
    <row r="32" customFormat="false" ht="15" hidden="false" customHeight="false" outlineLevel="0" collapsed="false">
      <c r="A32" s="2" t="s">
        <v>343</v>
      </c>
      <c r="B32" s="2" t="s">
        <v>465</v>
      </c>
      <c r="C32" s="2" t="s">
        <v>94</v>
      </c>
      <c r="D32" s="2" t="n">
        <f aca="false">G18</f>
        <v>47</v>
      </c>
      <c r="E32" s="2" t="n">
        <f aca="false">SUMIFS(Achizitii!$G:$G,Achizitii!$A:$A,A32,Achizitii!$E:$E,B32)</f>
        <v>120</v>
      </c>
      <c r="F32" s="2" t="n">
        <f aca="false">SUMIFS(Vanzari!$F:$F,Vanzari!$A:$A,A32,Vanzari!$D:$D,C32)</f>
        <v>97</v>
      </c>
      <c r="G32" s="2" t="n">
        <f aca="false">D32+E32-F32</f>
        <v>70</v>
      </c>
      <c r="H32" s="8" t="n">
        <v>19</v>
      </c>
      <c r="I32" s="8" t="n">
        <f aca="false">G32*H32</f>
        <v>1330</v>
      </c>
      <c r="J32" s="2" t="str">
        <f aca="false">IF(D32=G18,"OK","Diferenta")</f>
        <v>OK</v>
      </c>
    </row>
    <row r="33" customFormat="false" ht="15" hidden="false" customHeight="false" outlineLevel="0" collapsed="false">
      <c r="A33" s="2" t="s">
        <v>343</v>
      </c>
      <c r="B33" s="2" t="s">
        <v>510</v>
      </c>
      <c r="C33" s="2" t="s">
        <v>91</v>
      </c>
      <c r="D33" s="2" t="n">
        <f aca="false">G19</f>
        <v>8</v>
      </c>
      <c r="E33" s="2" t="n">
        <f aca="false">SUMIFS(Achizitii!$G:$G,Achizitii!$A:$A,A33,Achizitii!$E:$E,B33)</f>
        <v>15</v>
      </c>
      <c r="F33" s="2" t="n">
        <f aca="false">SUMIFS(Vanzari!$F:$F,Vanzari!$A:$A,A33,Vanzari!$D:$D,C33)</f>
        <v>23</v>
      </c>
      <c r="G33" s="2" t="n">
        <f aca="false">D33+E33-F33</f>
        <v>0</v>
      </c>
      <c r="H33" s="8" t="n">
        <v>48</v>
      </c>
      <c r="I33" s="8" t="n">
        <f aca="false">G33*H33</f>
        <v>0</v>
      </c>
      <c r="J33" s="2" t="str">
        <f aca="false">IF(D33=G19,"OK","Diferenta")</f>
        <v>OK</v>
      </c>
    </row>
    <row r="34" customFormat="false" ht="15" hidden="false" customHeight="false" outlineLevel="0" collapsed="false">
      <c r="A34" s="2" t="s">
        <v>343</v>
      </c>
      <c r="B34" s="2" t="s">
        <v>486</v>
      </c>
      <c r="C34" s="2" t="s">
        <v>134</v>
      </c>
      <c r="D34" s="2" t="n">
        <f aca="false">G20</f>
        <v>53</v>
      </c>
      <c r="E34" s="2" t="n">
        <f aca="false">SUMIFS(Achizitii!$G:$G,Achizitii!$A:$A,A34,Achizitii!$E:$E,B34)</f>
        <v>90</v>
      </c>
      <c r="F34" s="2" t="n">
        <f aca="false">SUMIFS(Vanzari!$F:$F,Vanzari!$A:$A,A34,Vanzari!$D:$D,C34)</f>
        <v>115</v>
      </c>
      <c r="G34" s="2" t="n">
        <f aca="false">D34+E34-F34</f>
        <v>28</v>
      </c>
      <c r="H34" s="8" t="n">
        <v>70</v>
      </c>
      <c r="I34" s="8" t="n">
        <f aca="false">G34*H34</f>
        <v>1960</v>
      </c>
      <c r="J34" s="2" t="str">
        <f aca="false">IF(D34=G20,"OK","Diferenta")</f>
        <v>OK</v>
      </c>
    </row>
    <row r="35" customFormat="false" ht="15" hidden="false" customHeight="false" outlineLevel="0" collapsed="false">
      <c r="A35" s="2" t="s">
        <v>343</v>
      </c>
      <c r="B35" s="2" t="s">
        <v>489</v>
      </c>
      <c r="C35" s="2" t="s">
        <v>104</v>
      </c>
      <c r="D35" s="2" t="n">
        <f aca="false">G21</f>
        <v>18</v>
      </c>
      <c r="E35" s="2" t="n">
        <f aca="false">SUMIFS(Achizitii!$G:$G,Achizitii!$A:$A,A35,Achizitii!$E:$E,B35)</f>
        <v>45</v>
      </c>
      <c r="F35" s="2" t="n">
        <f aca="false">SUMIFS(Vanzari!$F:$F,Vanzari!$A:$A,A35,Vanzari!$D:$D,C35)</f>
        <v>43</v>
      </c>
      <c r="G35" s="2" t="n">
        <f aca="false">D35+E35-F35</f>
        <v>20</v>
      </c>
      <c r="H35" s="8" t="n">
        <v>120</v>
      </c>
      <c r="I35" s="8" t="n">
        <f aca="false">G35*H35</f>
        <v>2400</v>
      </c>
      <c r="J35" s="2" t="str">
        <f aca="false">IF(D35=G21,"OK","Diferenta")</f>
        <v>OK</v>
      </c>
    </row>
    <row r="36" customFormat="false" ht="15" hidden="false" customHeight="false" outlineLevel="0" collapsed="false">
      <c r="A36" s="2" t="s">
        <v>343</v>
      </c>
      <c r="B36" s="2" t="s">
        <v>479</v>
      </c>
      <c r="C36" s="2" t="s">
        <v>86</v>
      </c>
      <c r="D36" s="2" t="n">
        <f aca="false">G22</f>
        <v>25</v>
      </c>
      <c r="E36" s="2" t="n">
        <f aca="false">SUMIFS(Achizitii!$G:$G,Achizitii!$A:$A,A36,Achizitii!$E:$E,B36)</f>
        <v>60</v>
      </c>
      <c r="F36" s="2" t="n">
        <f aca="false">SUMIFS(Vanzari!$F:$F,Vanzari!$A:$A,A36,Vanzari!$D:$D,C36)</f>
        <v>69</v>
      </c>
      <c r="G36" s="2" t="n">
        <f aca="false">D36+E36-F36</f>
        <v>16</v>
      </c>
      <c r="H36" s="8" t="n">
        <v>22</v>
      </c>
      <c r="I36" s="8" t="n">
        <f aca="false">G36*H36</f>
        <v>352</v>
      </c>
      <c r="J36" s="2" t="str">
        <f aca="false">IF(D36=G22,"OK","Diferenta")</f>
        <v>OK</v>
      </c>
    </row>
    <row r="37" customFormat="false" ht="15" hidden="false" customHeight="false" outlineLevel="0" collapsed="false">
      <c r="A37" s="2" t="s">
        <v>343</v>
      </c>
      <c r="B37" s="2" t="s">
        <v>480</v>
      </c>
      <c r="C37" s="2" t="s">
        <v>89</v>
      </c>
      <c r="D37" s="2" t="n">
        <f aca="false">G23</f>
        <v>34</v>
      </c>
      <c r="E37" s="2" t="n">
        <f aca="false">SUMIFS(Achizitii!$G:$G,Achizitii!$A:$A,A37,Achizitii!$E:$E,B37)</f>
        <v>60</v>
      </c>
      <c r="F37" s="2" t="n">
        <f aca="false">SUMIFS(Vanzari!$F:$F,Vanzari!$A:$A,A37,Vanzari!$D:$D,C37)</f>
        <v>75</v>
      </c>
      <c r="G37" s="2" t="n">
        <f aca="false">D37+E37-F37</f>
        <v>19</v>
      </c>
      <c r="H37" s="8" t="n">
        <v>9</v>
      </c>
      <c r="I37" s="8" t="n">
        <f aca="false">G37*H37</f>
        <v>171</v>
      </c>
      <c r="J37" s="2" t="str">
        <f aca="false">IF(D37=G23,"OK","Diferenta")</f>
        <v>OK</v>
      </c>
    </row>
    <row r="38" customFormat="false" ht="15" hidden="false" customHeight="false" outlineLevel="0" collapsed="false">
      <c r="A38" s="2" t="s">
        <v>343</v>
      </c>
      <c r="B38" s="2" t="s">
        <v>471</v>
      </c>
      <c r="C38" s="2" t="s">
        <v>113</v>
      </c>
      <c r="D38" s="2" t="n">
        <f aca="false">G24</f>
        <v>4</v>
      </c>
      <c r="E38" s="2" t="n">
        <f aca="false">SUMIFS(Achizitii!$G:$G,Achizitii!$A:$A,A38,Achizitii!$E:$E,B38)</f>
        <v>20</v>
      </c>
      <c r="F38" s="2" t="n">
        <f aca="false">SUMIFS(Vanzari!$F:$F,Vanzari!$A:$A,A38,Vanzari!$D:$D,C38)</f>
        <v>12</v>
      </c>
      <c r="G38" s="2" t="n">
        <f aca="false">D38+E38-F38</f>
        <v>12</v>
      </c>
      <c r="H38" s="8" t="n">
        <v>780</v>
      </c>
      <c r="I38" s="8" t="n">
        <f aca="false">G38*H38</f>
        <v>9360</v>
      </c>
      <c r="J38" s="2" t="str">
        <f aca="false">IF(D38=G24,"OK","Diferenta")</f>
        <v>OK</v>
      </c>
    </row>
    <row r="39" customFormat="false" ht="15" hidden="false" customHeight="false" outlineLevel="0" collapsed="false">
      <c r="A39" s="2" t="s">
        <v>343</v>
      </c>
      <c r="B39" s="2" t="s">
        <v>496</v>
      </c>
      <c r="C39" s="2" t="s">
        <v>82</v>
      </c>
      <c r="D39" s="2" t="n">
        <f aca="false">G25</f>
        <v>23</v>
      </c>
      <c r="E39" s="2" t="n">
        <f aca="false">SUMIFS(Achizitii!$G:$G,Achizitii!$A:$A,A39,Achizitii!$E:$E,B39)</f>
        <v>60</v>
      </c>
      <c r="F39" s="2" t="n">
        <f aca="false">SUMIFS(Vanzari!$F:$F,Vanzari!$A:$A,A39,Vanzari!$D:$D,C39)</f>
        <v>53</v>
      </c>
      <c r="G39" s="2" t="n">
        <f aca="false">D39+E39-F39</f>
        <v>30</v>
      </c>
      <c r="H39" s="8" t="n">
        <v>45</v>
      </c>
      <c r="I39" s="8" t="n">
        <f aca="false">G39*H39</f>
        <v>1350</v>
      </c>
      <c r="J39" s="2" t="str">
        <f aca="false">IF(D39=G25,"OK","Diferenta")</f>
        <v>OK</v>
      </c>
    </row>
    <row r="40" customFormat="false" ht="15" hidden="false" customHeight="false" outlineLevel="0" collapsed="false">
      <c r="A40" s="2" t="s">
        <v>343</v>
      </c>
      <c r="B40" s="2" t="s">
        <v>492</v>
      </c>
      <c r="C40" s="2" t="s">
        <v>108</v>
      </c>
      <c r="D40" s="2" t="n">
        <f aca="false">G26</f>
        <v>37</v>
      </c>
      <c r="E40" s="2" t="n">
        <f aca="false">SUMIFS(Achizitii!$G:$G,Achizitii!$A:$A,A40,Achizitii!$E:$E,B40)</f>
        <v>80</v>
      </c>
      <c r="F40" s="2" t="n">
        <f aca="false">SUMIFS(Vanzari!$F:$F,Vanzari!$A:$A,A40,Vanzari!$D:$D,C40)</f>
        <v>101</v>
      </c>
      <c r="G40" s="2" t="n">
        <f aca="false">D40+E40-F40</f>
        <v>16</v>
      </c>
      <c r="H40" s="8" t="n">
        <v>160</v>
      </c>
      <c r="I40" s="8" t="n">
        <f aca="false">G40*H40</f>
        <v>2560</v>
      </c>
      <c r="J40" s="2" t="str">
        <f aca="false">IF(D40=G26,"OK","Diferenta")</f>
        <v>OK</v>
      </c>
    </row>
    <row r="41" customFormat="false" ht="15" hidden="false" customHeight="false" outlineLevel="0" collapsed="false">
      <c r="A41" s="2" t="s">
        <v>343</v>
      </c>
      <c r="B41" s="2" t="s">
        <v>477</v>
      </c>
      <c r="C41" s="2" t="s">
        <v>130</v>
      </c>
      <c r="D41" s="2" t="n">
        <f aca="false">G27</f>
        <v>27</v>
      </c>
      <c r="E41" s="2" t="n">
        <f aca="false">SUMIFS(Achizitii!$G:$G,Achizitii!$A:$A,A41,Achizitii!$E:$E,B41)</f>
        <v>60</v>
      </c>
      <c r="F41" s="2" t="n">
        <f aca="false">SUMIFS(Vanzari!$F:$F,Vanzari!$A:$A,A41,Vanzari!$D:$D,C41)</f>
        <v>72</v>
      </c>
      <c r="G41" s="2" t="n">
        <f aca="false">D41+E41-F41</f>
        <v>15</v>
      </c>
      <c r="H41" s="8" t="n">
        <v>190</v>
      </c>
      <c r="I41" s="8" t="n">
        <f aca="false">G41*H41</f>
        <v>2850</v>
      </c>
      <c r="J41" s="2" t="str">
        <f aca="false">IF(D41=G27,"OK","Diferenta")</f>
        <v>OK</v>
      </c>
    </row>
    <row r="42" customFormat="false" ht="15" hidden="false" customHeight="false" outlineLevel="0" collapsed="false">
      <c r="A42" s="2" t="s">
        <v>343</v>
      </c>
      <c r="B42" s="2" t="s">
        <v>468</v>
      </c>
      <c r="C42" s="2" t="s">
        <v>97</v>
      </c>
      <c r="D42" s="2" t="n">
        <f aca="false">G28</f>
        <v>22</v>
      </c>
      <c r="E42" s="2" t="n">
        <f aca="false">SUMIFS(Achizitii!$G:$G,Achizitii!$A:$A,A42,Achizitii!$E:$E,B42)</f>
        <v>40</v>
      </c>
      <c r="F42" s="2" t="n">
        <f aca="false">SUMIFS(Vanzari!$F:$F,Vanzari!$A:$A,A42,Vanzari!$D:$D,C42)</f>
        <v>50</v>
      </c>
      <c r="G42" s="2" t="n">
        <f aca="false">D42+E42-F42</f>
        <v>12</v>
      </c>
      <c r="H42" s="8" t="n">
        <v>290</v>
      </c>
      <c r="I42" s="8" t="n">
        <f aca="false">G42*H42</f>
        <v>3480</v>
      </c>
      <c r="J42" s="2" t="str">
        <f aca="false">IF(D42=G28,"OK","Diferenta")</f>
        <v>OK</v>
      </c>
    </row>
    <row r="43" customFormat="false" ht="15" hidden="false" customHeight="false" outlineLevel="0" collapsed="false">
      <c r="A43" s="2" t="s">
        <v>343</v>
      </c>
      <c r="B43" s="2" t="s">
        <v>475</v>
      </c>
      <c r="C43" s="2" t="s">
        <v>124</v>
      </c>
      <c r="D43" s="2" t="n">
        <f aca="false">G29</f>
        <v>23</v>
      </c>
      <c r="E43" s="2" t="n">
        <f aca="false">SUMIFS(Achizitii!$G:$G,Achizitii!$A:$A,A43,Achizitii!$E:$E,B43)</f>
        <v>40</v>
      </c>
      <c r="F43" s="2" t="n">
        <f aca="false">SUMIFS(Vanzari!$F:$F,Vanzari!$A:$A,A43,Vanzari!$D:$D,C43)</f>
        <v>45</v>
      </c>
      <c r="G43" s="2" t="n">
        <f aca="false">D43+E43-F43</f>
        <v>18</v>
      </c>
      <c r="H43" s="8" t="n">
        <v>18</v>
      </c>
      <c r="I43" s="8" t="n">
        <f aca="false">G43*H43</f>
        <v>324</v>
      </c>
      <c r="J43" s="2" t="str">
        <f aca="false">IF(D43=G29,"OK","Diferenta")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8" min="6" style="0" width="13"/>
    <col collapsed="false" customWidth="true" hidden="false" outlineLevel="0" max="9" min="9" style="0" width="14"/>
    <col collapsed="false" customWidth="true" hidden="false" outlineLevel="0" max="10" min="10" style="0" width="15"/>
  </cols>
  <sheetData>
    <row r="1" customFormat="false" ht="23.85" hidden="false" customHeight="false" outlineLevel="0" collapsed="false">
      <c r="A1" s="4" t="s">
        <v>68</v>
      </c>
      <c r="B1" s="4" t="s">
        <v>651</v>
      </c>
      <c r="C1" s="4" t="s">
        <v>652</v>
      </c>
      <c r="D1" s="4" t="s">
        <v>653</v>
      </c>
      <c r="E1" s="4" t="s">
        <v>73</v>
      </c>
      <c r="F1" s="4" t="s">
        <v>654</v>
      </c>
      <c r="G1" s="4" t="s">
        <v>655</v>
      </c>
      <c r="H1" s="4" t="s">
        <v>656</v>
      </c>
      <c r="I1" s="4" t="s">
        <v>657</v>
      </c>
      <c r="J1" s="4" t="s">
        <v>658</v>
      </c>
    </row>
    <row r="2" customFormat="false" ht="15" hidden="false" customHeight="false" outlineLevel="0" collapsed="false">
      <c r="A2" s="2" t="s">
        <v>99</v>
      </c>
      <c r="B2" s="2" t="s">
        <v>659</v>
      </c>
      <c r="C2" s="2" t="s">
        <v>660</v>
      </c>
      <c r="D2" s="2" t="s">
        <v>636</v>
      </c>
      <c r="E2" s="22" t="n">
        <v>30</v>
      </c>
      <c r="F2" s="8" t="n">
        <f aca="false">SUMIFS(Vanzari!$J:$J,Vanzari!$I:$I,$A2,Vanzari!$A:$A,"2026-07")</f>
        <v>42280.04</v>
      </c>
      <c r="G2" s="8" t="n">
        <f aca="false">SUMIFS(Vanzari!$J:$J,Vanzari!$I:$I,$A2,Vanzari!$A:$A,"2026-08")</f>
        <v>20458.28</v>
      </c>
      <c r="H2" s="8" t="n">
        <f aca="false">SUMIFS(Vanzari!$J:$J,Vanzari!$I:$I,$A2,Vanzari!$A:$A,"2026-09")</f>
        <v>31105.05</v>
      </c>
      <c r="I2" s="8" t="n">
        <f aca="false">SUM(F2:H2)</f>
        <v>93843.37</v>
      </c>
      <c r="J2" s="8" t="n">
        <f aca="false">SUMIFS(Vanzari!$L:$L,Vanzari!$I:$I,$A2,Vanzari!$P:$P,"Neincasat")</f>
        <v>37637.12</v>
      </c>
    </row>
    <row r="3" customFormat="false" ht="15" hidden="false" customHeight="false" outlineLevel="0" collapsed="false">
      <c r="A3" s="2" t="s">
        <v>80</v>
      </c>
      <c r="B3" s="2" t="s">
        <v>659</v>
      </c>
      <c r="C3" s="2" t="s">
        <v>661</v>
      </c>
      <c r="D3" s="2" t="s">
        <v>638</v>
      </c>
      <c r="E3" s="22" t="n">
        <v>15</v>
      </c>
      <c r="F3" s="8" t="n">
        <f aca="false">SUMIFS(Vanzari!$J:$J,Vanzari!$I:$I,$A3,Vanzari!$A:$A,"2026-07")</f>
        <v>15265.62</v>
      </c>
      <c r="G3" s="8" t="n">
        <f aca="false">SUMIFS(Vanzari!$J:$J,Vanzari!$I:$I,$A3,Vanzari!$A:$A,"2026-08")</f>
        <v>11179.95</v>
      </c>
      <c r="H3" s="8" t="n">
        <f aca="false">SUMIFS(Vanzari!$J:$J,Vanzari!$I:$I,$A3,Vanzari!$A:$A,"2026-09")</f>
        <v>21702.68</v>
      </c>
      <c r="I3" s="8" t="n">
        <f aca="false">SUM(F3:H3)</f>
        <v>48148.25</v>
      </c>
      <c r="J3" s="8" t="n">
        <f aca="false">SUMIFS(Vanzari!$L:$L,Vanzari!$I:$I,$A3,Vanzari!$P:$P,"Neincasat")</f>
        <v>22695.24</v>
      </c>
    </row>
    <row r="4" customFormat="false" ht="15" hidden="false" customHeight="false" outlineLevel="0" collapsed="false">
      <c r="A4" s="2" t="s">
        <v>125</v>
      </c>
      <c r="B4" s="2" t="s">
        <v>659</v>
      </c>
      <c r="C4" s="2" t="s">
        <v>662</v>
      </c>
      <c r="D4" s="2" t="s">
        <v>638</v>
      </c>
      <c r="E4" s="22" t="n">
        <v>15</v>
      </c>
      <c r="F4" s="8" t="n">
        <f aca="false">SUMIFS(Vanzari!$J:$J,Vanzari!$I:$I,$A4,Vanzari!$A:$A,"2026-07")</f>
        <v>13364.76</v>
      </c>
      <c r="G4" s="8" t="n">
        <f aca="false">SUMIFS(Vanzari!$J:$J,Vanzari!$I:$I,$A4,Vanzari!$A:$A,"2026-08")</f>
        <v>35025.68</v>
      </c>
      <c r="H4" s="8" t="n">
        <f aca="false">SUMIFS(Vanzari!$J:$J,Vanzari!$I:$I,$A4,Vanzari!$A:$A,"2026-09")</f>
        <v>23109.01</v>
      </c>
      <c r="I4" s="8" t="n">
        <f aca="false">SUM(F4:H4)</f>
        <v>71499.45</v>
      </c>
      <c r="J4" s="8" t="n">
        <f aca="false">SUMIFS(Vanzari!$L:$L,Vanzari!$I:$I,$A4,Vanzari!$P:$P,"Neincasat")</f>
        <v>7261.71</v>
      </c>
    </row>
    <row r="5" customFormat="false" ht="15" hidden="false" customHeight="false" outlineLevel="0" collapsed="false">
      <c r="A5" s="2" t="s">
        <v>95</v>
      </c>
      <c r="B5" s="2" t="s">
        <v>659</v>
      </c>
      <c r="C5" s="2" t="s">
        <v>663</v>
      </c>
      <c r="D5" s="2" t="s">
        <v>636</v>
      </c>
      <c r="E5" s="22" t="n">
        <v>30</v>
      </c>
      <c r="F5" s="8" t="n">
        <f aca="false">SUMIFS(Vanzari!$J:$J,Vanzari!$I:$I,$A5,Vanzari!$A:$A,"2026-07")</f>
        <v>29249.4</v>
      </c>
      <c r="G5" s="8" t="n">
        <f aca="false">SUMIFS(Vanzari!$J:$J,Vanzari!$I:$I,$A5,Vanzari!$A:$A,"2026-08")</f>
        <v>21048.6</v>
      </c>
      <c r="H5" s="8" t="n">
        <f aca="false">SUMIFS(Vanzari!$J:$J,Vanzari!$I:$I,$A5,Vanzari!$A:$A,"2026-09")</f>
        <v>29976.7</v>
      </c>
      <c r="I5" s="8" t="n">
        <f aca="false">SUM(F5:H5)</f>
        <v>80274.7</v>
      </c>
      <c r="J5" s="8" t="n">
        <f aca="false">SUMIFS(Vanzari!$L:$L,Vanzari!$I:$I,$A5,Vanzari!$P:$P,"Neincasat")</f>
        <v>36271.8</v>
      </c>
    </row>
    <row r="6" customFormat="false" ht="15" hidden="false" customHeight="false" outlineLevel="0" collapsed="false">
      <c r="A6" s="2" t="s">
        <v>116</v>
      </c>
      <c r="B6" s="2" t="s">
        <v>659</v>
      </c>
      <c r="C6" s="2" t="s">
        <v>664</v>
      </c>
      <c r="D6" s="2" t="s">
        <v>638</v>
      </c>
      <c r="E6" s="22" t="n">
        <v>30</v>
      </c>
      <c r="F6" s="8" t="n">
        <f aca="false">SUMIFS(Vanzari!$J:$J,Vanzari!$I:$I,$A6,Vanzari!$A:$A,"2026-07")</f>
        <v>30350.69</v>
      </c>
      <c r="G6" s="8" t="n">
        <f aca="false">SUMIFS(Vanzari!$J:$J,Vanzari!$I:$I,$A6,Vanzari!$A:$A,"2026-08")</f>
        <v>14058.79</v>
      </c>
      <c r="H6" s="8" t="n">
        <f aca="false">SUMIFS(Vanzari!$J:$J,Vanzari!$I:$I,$A6,Vanzari!$A:$A,"2026-09")</f>
        <v>27207.43</v>
      </c>
      <c r="I6" s="8" t="n">
        <f aca="false">SUM(F6:H6)</f>
        <v>71616.91</v>
      </c>
      <c r="J6" s="8" t="n">
        <f aca="false">SUMIFS(Vanzari!$L:$L,Vanzari!$I:$I,$A6,Vanzari!$P:$P,"Neincasat")</f>
        <v>32920.99</v>
      </c>
    </row>
    <row r="7" customFormat="false" ht="15" hidden="false" customHeight="false" outlineLevel="0" collapsed="false">
      <c r="A7" s="2" t="s">
        <v>92</v>
      </c>
      <c r="B7" s="2" t="s">
        <v>665</v>
      </c>
      <c r="C7" s="2" t="s">
        <v>666</v>
      </c>
      <c r="D7" s="2" t="s">
        <v>666</v>
      </c>
      <c r="E7" s="22" t="n">
        <v>14</v>
      </c>
      <c r="F7" s="8" t="n">
        <f aca="false">SUMIFS(Vanzari!$J:$J,Vanzari!$I:$I,$A7,Vanzari!$A:$A,"2026-07")</f>
        <v>7532.68</v>
      </c>
      <c r="G7" s="8" t="n">
        <f aca="false">SUMIFS(Vanzari!$J:$J,Vanzari!$I:$I,$A7,Vanzari!$A:$A,"2026-08")</f>
        <v>5279.79</v>
      </c>
      <c r="H7" s="8" t="n">
        <f aca="false">SUMIFS(Vanzari!$J:$J,Vanzari!$I:$I,$A7,Vanzari!$A:$A,"2026-09")</f>
        <v>7337.15</v>
      </c>
      <c r="I7" s="8" t="n">
        <f aca="false">SUM(F7:H7)</f>
        <v>20149.62</v>
      </c>
      <c r="J7" s="8" t="n">
        <f aca="false">SUMIFS(Vanzari!$L:$L,Vanzari!$I:$I,$A7,Vanzari!$P:$P,"Neincasat")</f>
        <v>4859.85</v>
      </c>
    </row>
    <row r="8" customFormat="false" ht="15" hidden="false" customHeight="false" outlineLevel="0" collapsed="false">
      <c r="A8" s="2" t="s">
        <v>110</v>
      </c>
      <c r="B8" s="2" t="s">
        <v>667</v>
      </c>
      <c r="C8" s="2" t="s">
        <v>666</v>
      </c>
      <c r="D8" s="2" t="s">
        <v>666</v>
      </c>
      <c r="E8" s="22" t="n">
        <v>0</v>
      </c>
      <c r="F8" s="8" t="n">
        <f aca="false">SUMIFS(Vanzari!$J:$J,Vanzari!$I:$I,$A8,Vanzari!$A:$A,"2026-07")</f>
        <v>3660.85</v>
      </c>
      <c r="G8" s="8" t="n">
        <f aca="false">SUMIFS(Vanzari!$J:$J,Vanzari!$I:$I,$A8,Vanzari!$A:$A,"2026-08")</f>
        <v>7408.4</v>
      </c>
      <c r="H8" s="8" t="n">
        <f aca="false">SUMIFS(Vanzari!$J:$J,Vanzari!$I:$I,$A8,Vanzari!$A:$A,"2026-09")</f>
        <v>5341.72</v>
      </c>
      <c r="I8" s="8" t="n">
        <f aca="false">SUM(F8:H8)</f>
        <v>16410.97</v>
      </c>
      <c r="J8" s="8" t="n">
        <f aca="false">SUMIFS(Vanzari!$L:$L,Vanzari!$I:$I,$A8,Vanzari!$P:$P,"Neincasat")</f>
        <v>0</v>
      </c>
    </row>
    <row r="9" customFormat="false" ht="15" hidden="false" customHeight="false" outlineLevel="0" collapsed="false">
      <c r="A9" s="2" t="s">
        <v>84</v>
      </c>
      <c r="B9" s="2" t="s">
        <v>668</v>
      </c>
      <c r="C9" s="2" t="s">
        <v>666</v>
      </c>
      <c r="D9" s="2" t="s">
        <v>666</v>
      </c>
      <c r="E9" s="22" t="n">
        <v>0</v>
      </c>
      <c r="F9" s="8" t="n">
        <f aca="false">SUMIFS(Vanzari!$J:$J,Vanzari!$I:$I,$A9,Vanzari!$A:$A,"2026-07")</f>
        <v>7731.53</v>
      </c>
      <c r="G9" s="8" t="n">
        <f aca="false">SUMIFS(Vanzari!$J:$J,Vanzari!$I:$I,$A9,Vanzari!$A:$A,"2026-08")</f>
        <v>9958.7</v>
      </c>
      <c r="H9" s="8" t="n">
        <f aca="false">SUMIFS(Vanzari!$J:$J,Vanzari!$I:$I,$A9,Vanzari!$A:$A,"2026-09")</f>
        <v>6874.88</v>
      </c>
      <c r="I9" s="8" t="n">
        <f aca="false">SUM(F9:H9)</f>
        <v>24565.11</v>
      </c>
      <c r="J9" s="8" t="n">
        <f aca="false">SUMIFS(Vanzari!$L:$L,Vanzari!$I:$I,$A9,Vanzari!$P:$P,"Neincasat")</f>
        <v>0</v>
      </c>
    </row>
    <row r="10" customFormat="false" ht="15" hidden="false" customHeight="false" outlineLevel="0" collapsed="false">
      <c r="A10" s="5" t="s">
        <v>669</v>
      </c>
      <c r="B10" s="2"/>
      <c r="C10" s="2"/>
      <c r="D10" s="2"/>
      <c r="E10" s="2"/>
      <c r="F10" s="23" t="n">
        <f aca="false">SUM(F2:F9)</f>
        <v>149435.57</v>
      </c>
      <c r="G10" s="23" t="n">
        <f aca="false">SUM(G2:G9)</f>
        <v>124418.19</v>
      </c>
      <c r="H10" s="23" t="n">
        <f aca="false">SUM(H2:H9)</f>
        <v>152654.62</v>
      </c>
      <c r="I10" s="23" t="n">
        <f aca="false">SUM(I2:I9)</f>
        <v>426508.38</v>
      </c>
      <c r="J10" s="23" t="n">
        <f aca="false">SUM(J2:J9)</f>
        <v>141646.71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6"/>
  </cols>
  <sheetData>
    <row r="1" customFormat="false" ht="23.85" hidden="false" customHeight="false" outlineLevel="0" collapsed="false">
      <c r="A1" s="4" t="s">
        <v>670</v>
      </c>
      <c r="B1" s="4" t="s">
        <v>671</v>
      </c>
      <c r="C1" s="4" t="s">
        <v>672</v>
      </c>
      <c r="D1" s="4" t="s">
        <v>673</v>
      </c>
      <c r="E1" s="4" t="s">
        <v>674</v>
      </c>
    </row>
    <row r="2" customFormat="false" ht="15" hidden="false" customHeight="false" outlineLevel="0" collapsed="false">
      <c r="A2" s="2" t="s">
        <v>464</v>
      </c>
      <c r="B2" s="8" t="n">
        <f aca="false">SUMIFS(Achizitii!$I:$I,Achizitii!$D:$D,$A2,Achizitii!$A:$A,"2026-07")</f>
        <v>15160</v>
      </c>
      <c r="C2" s="8" t="n">
        <f aca="false">SUMIFS(Achizitii!$I:$I,Achizitii!$D:$D,$A2,Achizitii!$A:$A,"2026-08")</f>
        <v>9620</v>
      </c>
      <c r="D2" s="8" t="n">
        <f aca="false">SUMIFS(Achizitii!$I:$I,Achizitii!$D:$D,$A2,Achizitii!$A:$A,"2026-09")</f>
        <v>14435</v>
      </c>
      <c r="E2" s="8" t="n">
        <f aca="false">SUM(B2:D2)</f>
        <v>39215</v>
      </c>
    </row>
    <row r="3" customFormat="false" ht="15" hidden="false" customHeight="false" outlineLevel="0" collapsed="false">
      <c r="A3" s="2" t="s">
        <v>467</v>
      </c>
      <c r="B3" s="8" t="n">
        <f aca="false">SUMIFS(Achizitii!$I:$I,Achizitii!$D:$D,$A3,Achizitii!$A:$A,"2026-07")</f>
        <v>17940</v>
      </c>
      <c r="C3" s="8" t="n">
        <f aca="false">SUMIFS(Achizitii!$I:$I,Achizitii!$D:$D,$A3,Achizitii!$A:$A,"2026-08")</f>
        <v>12320</v>
      </c>
      <c r="D3" s="8" t="n">
        <f aca="false">SUMIFS(Achizitii!$I:$I,Achizitii!$D:$D,$A3,Achizitii!$A:$A,"2026-09")</f>
        <v>12320</v>
      </c>
      <c r="E3" s="8" t="n">
        <f aca="false">SUM(B3:D3)</f>
        <v>42580</v>
      </c>
    </row>
    <row r="4" customFormat="false" ht="15" hidden="false" customHeight="false" outlineLevel="0" collapsed="false">
      <c r="A4" s="2" t="s">
        <v>485</v>
      </c>
      <c r="B4" s="8" t="n">
        <f aca="false">SUMIFS(Achizitii!$I:$I,Achizitii!$D:$D,$A4,Achizitii!$A:$A,"2026-07")</f>
        <v>14300</v>
      </c>
      <c r="C4" s="8" t="n">
        <f aca="false">SUMIFS(Achizitii!$I:$I,Achizitii!$D:$D,$A4,Achizitii!$A:$A,"2026-08")</f>
        <v>12600</v>
      </c>
      <c r="D4" s="8" t="n">
        <f aca="false">SUMIFS(Achizitii!$I:$I,Achizitii!$D:$D,$A4,Achizitii!$A:$A,"2026-09")</f>
        <v>11700</v>
      </c>
      <c r="E4" s="8" t="n">
        <f aca="false">SUM(B4:D4)</f>
        <v>38600</v>
      </c>
    </row>
    <row r="5" customFormat="false" ht="15" hidden="false" customHeight="false" outlineLevel="0" collapsed="false">
      <c r="A5" s="2" t="s">
        <v>470</v>
      </c>
      <c r="B5" s="8" t="n">
        <f aca="false">SUMIFS(Achizitii!$I:$I,Achizitii!$D:$D,$A5,Achizitii!$A:$A,"2026-07")</f>
        <v>45500</v>
      </c>
      <c r="C5" s="8" t="n">
        <f aca="false">SUMIFS(Achizitii!$I:$I,Achizitii!$D:$D,$A5,Achizitii!$A:$A,"2026-08")</f>
        <v>24700</v>
      </c>
      <c r="D5" s="8" t="n">
        <f aca="false">SUMIFS(Achizitii!$I:$I,Achizitii!$D:$D,$A5,Achizitii!$A:$A,"2026-09")</f>
        <v>42500</v>
      </c>
      <c r="E5" s="8" t="n">
        <f aca="false">SUM(B5:D5)</f>
        <v>112700</v>
      </c>
    </row>
    <row r="6" customFormat="false" ht="15" hidden="false" customHeight="false" outlineLevel="0" collapsed="false">
      <c r="A6" s="5" t="s">
        <v>669</v>
      </c>
      <c r="B6" s="23" t="n">
        <f aca="false">SUM(B2:B5)</f>
        <v>92900</v>
      </c>
      <c r="C6" s="23" t="n">
        <f aca="false">SUM(C2:C5)</f>
        <v>59240</v>
      </c>
      <c r="D6" s="23" t="n">
        <f aca="false">SUM(D2:D5)</f>
        <v>80955</v>
      </c>
      <c r="E6" s="23" t="n">
        <f aca="false">SUM(E2:E5)</f>
        <v>233095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675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4" t="s">
        <v>30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7" t="s">
        <v>676</v>
      </c>
      <c r="B4" s="8" t="n">
        <f aca="false">SUMIFS(Vanzari!$J:$J,Vanzari!$A:$A,"2026-07")</f>
        <v>149435.57</v>
      </c>
      <c r="C4" s="8" t="n">
        <f aca="false">SUMIFS(Vanzari!$J:$J,Vanzari!$A:$A,"2026-08")</f>
        <v>124418.19</v>
      </c>
      <c r="D4" s="8" t="n">
        <f aca="false">SUMIFS(Vanzari!$J:$J,Vanzari!$A:$A,"2026-09")</f>
        <v>152654.62</v>
      </c>
      <c r="E4" s="9" t="n">
        <f aca="false">SUM(B4:D4)</f>
        <v>426508.38</v>
      </c>
    </row>
    <row r="5" customFormat="false" ht="15" hidden="false" customHeight="false" outlineLevel="0" collapsed="false">
      <c r="A5" s="5" t="s">
        <v>677</v>
      </c>
      <c r="B5" s="6" t="n">
        <f aca="false">SUMIFS(Vanzari!$K:$K,Vanzari!$A:$A,"2026-07")</f>
        <v>31381.54</v>
      </c>
      <c r="C5" s="6" t="n">
        <f aca="false">SUMIFS(Vanzari!$K:$K,Vanzari!$A:$A,"2026-08")</f>
        <v>26127.91</v>
      </c>
      <c r="D5" s="6" t="n">
        <f aca="false">SUMIFS(Vanzari!$K:$K,Vanzari!$A:$A,"2026-09")</f>
        <v>32057.56</v>
      </c>
      <c r="E5" s="6" t="n">
        <f aca="false">SUM(B5:D5)</f>
        <v>89567.01</v>
      </c>
    </row>
    <row r="6" customFormat="false" ht="15" hidden="false" customHeight="false" outlineLevel="0" collapsed="false">
      <c r="A6" s="7" t="s">
        <v>678</v>
      </c>
      <c r="B6" s="8" t="n">
        <f aca="false">SUMIFS(Achizitii!$J:$J,Achizitii!$A:$A,"2026-07")</f>
        <v>19509</v>
      </c>
      <c r="C6" s="8" t="n">
        <f aca="false">SUMIFS(Achizitii!$J:$J,Achizitii!$A:$A,"2026-08")</f>
        <v>12440.4</v>
      </c>
      <c r="D6" s="8" t="n">
        <f aca="false">SUMIFS(Achizitii!$J:$J,Achizitii!$A:$A,"2026-09")</f>
        <v>17000.55</v>
      </c>
      <c r="E6" s="9" t="n">
        <f aca="false">SUM(B6:D6)</f>
        <v>48949.95</v>
      </c>
    </row>
    <row r="7" customFormat="false" ht="15" hidden="false" customHeight="false" outlineLevel="0" collapsed="false">
      <c r="A7" s="7" t="s">
        <v>679</v>
      </c>
      <c r="B7" s="8" t="n">
        <f aca="false">SUMIFS(Cheltuieli!$H:$H,Cheltuieli!$A:$A,"2026-07")</f>
        <v>2890.95</v>
      </c>
      <c r="C7" s="8" t="n">
        <f aca="false">SUMIFS(Cheltuieli!$H:$H,Cheltuieli!$A:$A,"2026-08")</f>
        <v>3045.47</v>
      </c>
      <c r="D7" s="8" t="n">
        <f aca="false">SUMIFS(Cheltuieli!$H:$H,Cheltuieli!$A:$A,"2026-09")</f>
        <v>2906.71</v>
      </c>
      <c r="E7" s="9" t="n">
        <f aca="false">SUM(B7:D7)</f>
        <v>8843.13</v>
      </c>
    </row>
    <row r="8" customFormat="false" ht="15" hidden="false" customHeight="false" outlineLevel="0" collapsed="false">
      <c r="A8" s="5" t="s">
        <v>680</v>
      </c>
      <c r="B8" s="6" t="n">
        <f aca="false">B6+B7</f>
        <v>22399.95</v>
      </c>
      <c r="C8" s="6" t="n">
        <f aca="false">C6+C7</f>
        <v>15485.87</v>
      </c>
      <c r="D8" s="6" t="n">
        <f aca="false">D6+D7</f>
        <v>19907.26</v>
      </c>
      <c r="E8" s="6" t="n">
        <f aca="false">SUM(B8:D8)</f>
        <v>57793.08</v>
      </c>
    </row>
    <row r="9" customFormat="false" ht="15" hidden="false" customHeight="false" outlineLevel="0" collapsed="false">
      <c r="A9" s="10" t="s">
        <v>681</v>
      </c>
      <c r="B9" s="11" t="n">
        <f aca="false">B5-B8</f>
        <v>8981.59</v>
      </c>
      <c r="C9" s="11" t="n">
        <f aca="false">C5-C8</f>
        <v>10642.04</v>
      </c>
      <c r="D9" s="11" t="n">
        <f aca="false">D5-D8</f>
        <v>12150.3</v>
      </c>
      <c r="E9" s="11" t="n">
        <f aca="false">SUM(B9:D9)</f>
        <v>31773.93</v>
      </c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16" t="s">
        <v>682</v>
      </c>
      <c r="B11" s="2"/>
      <c r="C11" s="2"/>
      <c r="D11" s="2"/>
      <c r="E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2026-10-14T16:45:30Z</dcterms:created>
  <dc:creator>openpyxl</dc:creator>
  <dc:description/>
  <dc:language>en-US</dc:language>
  <cp:lastModifiedBy/>
  <dcterms:modified xsi:type="dcterms:W3CDTF">2026-10-14T16:45:32Z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